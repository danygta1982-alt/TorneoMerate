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/>
  <mc:AlternateContent xmlns:mc="http://schemas.openxmlformats.org/markup-compatibility/2006">
    <mc:Choice Requires="x15">
      <x15ac:absPath xmlns:x15ac="http://schemas.microsoft.com/office/spreadsheetml/2010/11/ac" url="C:\Users\danyg\Downloads\"/>
    </mc:Choice>
  </mc:AlternateContent>
  <xr:revisionPtr revIDLastSave="0" documentId="13_ncr:1_{58AD1CA1-7E29-4218-A25A-8BE19703AAC9}" xr6:coauthVersionLast="36" xr6:coauthVersionMax="36" xr10:uidLastSave="{00000000-0000-0000-0000-000000000000}"/>
  <bookViews>
    <workbookView xWindow="0" yWindow="0" windowWidth="18432" windowHeight="6492" activeTab="2" xr2:uid="{00000000-000D-0000-FFFF-FFFF00000000}"/>
  </bookViews>
  <sheets>
    <sheet name="RIEPILOGO PARTITE" sheetId="1" r:id="rId1"/>
    <sheet name="RIEPIOGO TOTALI" sheetId="2" r:id="rId2"/>
    <sheet name="CLASSIFICA ORDINATA PER POSIZIO" sheetId="3" r:id="rId3"/>
  </sheets>
  <calcPr calcId="191029"/>
</workbook>
</file>

<file path=xl/calcChain.xml><?xml version="1.0" encoding="utf-8"?>
<calcChain xmlns="http://schemas.openxmlformats.org/spreadsheetml/2006/main">
  <c r="D36" i="2" l="1"/>
  <c r="D35" i="2"/>
  <c r="D34" i="2"/>
  <c r="D33" i="2"/>
  <c r="D32" i="2"/>
  <c r="D31" i="2"/>
  <c r="D30" i="2"/>
  <c r="D29" i="2"/>
  <c r="D28" i="2"/>
  <c r="D27" i="2"/>
  <c r="K26" i="2"/>
  <c r="D26" i="2"/>
  <c r="D25" i="2"/>
  <c r="D24" i="2"/>
  <c r="D23" i="2"/>
  <c r="D22" i="2"/>
  <c r="D21" i="2"/>
  <c r="D20" i="2"/>
  <c r="D19" i="2"/>
  <c r="D18" i="2"/>
  <c r="K17" i="2"/>
  <c r="D17" i="2"/>
  <c r="D16" i="2"/>
  <c r="D15" i="2"/>
  <c r="D14" i="2"/>
  <c r="D13" i="2"/>
  <c r="K12" i="2"/>
  <c r="D12" i="2"/>
  <c r="K11" i="2"/>
  <c r="D11" i="2"/>
  <c r="D10" i="2"/>
  <c r="D9" i="2"/>
  <c r="K8" i="2"/>
  <c r="D8" i="2"/>
  <c r="D7" i="2"/>
  <c r="D6" i="2"/>
  <c r="D5" i="2"/>
  <c r="D4" i="2"/>
  <c r="D2" i="2"/>
  <c r="AF38" i="1"/>
  <c r="AE38" i="1"/>
  <c r="AD38" i="1"/>
  <c r="J37" i="2" s="1"/>
  <c r="Y38" i="1"/>
  <c r="I37" i="2" s="1"/>
  <c r="T38" i="1"/>
  <c r="H37" i="2" s="1"/>
  <c r="O38" i="1"/>
  <c r="G37" i="2" s="1"/>
  <c r="J38" i="1"/>
  <c r="F37" i="2" s="1"/>
  <c r="AF37" i="1"/>
  <c r="AE37" i="1"/>
  <c r="AD37" i="1"/>
  <c r="J3" i="2" s="1"/>
  <c r="Y37" i="1"/>
  <c r="I3" i="2" s="1"/>
  <c r="T37" i="1"/>
  <c r="H3" i="2" s="1"/>
  <c r="O37" i="1"/>
  <c r="G3" i="2" s="1"/>
  <c r="J37" i="1"/>
  <c r="F3" i="2" s="1"/>
  <c r="AF36" i="1"/>
  <c r="AE36" i="1"/>
  <c r="AG36" i="1" s="1"/>
  <c r="K29" i="2" s="1"/>
  <c r="D36" i="1"/>
  <c r="AD36" i="1" s="1"/>
  <c r="J29" i="2" s="1"/>
  <c r="AG35" i="1"/>
  <c r="K14" i="2" s="1"/>
  <c r="AF35" i="1"/>
  <c r="AE35" i="1"/>
  <c r="D35" i="1"/>
  <c r="AG34" i="1"/>
  <c r="K23" i="2" s="1"/>
  <c r="AF34" i="1"/>
  <c r="AE34" i="1"/>
  <c r="J34" i="1"/>
  <c r="F23" i="2" s="1"/>
  <c r="D34" i="1"/>
  <c r="AD34" i="1" s="1"/>
  <c r="J23" i="2" s="1"/>
  <c r="AF33" i="1"/>
  <c r="AG33" i="1" s="1"/>
  <c r="K25" i="2" s="1"/>
  <c r="AE33" i="1"/>
  <c r="T33" i="1"/>
  <c r="H25" i="2" s="1"/>
  <c r="O33" i="1"/>
  <c r="G25" i="2" s="1"/>
  <c r="J33" i="1"/>
  <c r="F25" i="2" s="1"/>
  <c r="D33" i="1"/>
  <c r="AD33" i="1" s="1"/>
  <c r="J25" i="2" s="1"/>
  <c r="AF32" i="1"/>
  <c r="AE32" i="1"/>
  <c r="T32" i="1"/>
  <c r="H8" i="2" s="1"/>
  <c r="O32" i="1"/>
  <c r="G8" i="2" s="1"/>
  <c r="J32" i="1"/>
  <c r="F8" i="2" s="1"/>
  <c r="D32" i="1"/>
  <c r="AD32" i="1" s="1"/>
  <c r="J8" i="2" s="1"/>
  <c r="AF31" i="1"/>
  <c r="AE31" i="1"/>
  <c r="T31" i="1"/>
  <c r="H26" i="2" s="1"/>
  <c r="O31" i="1"/>
  <c r="G26" i="2" s="1"/>
  <c r="J31" i="1"/>
  <c r="F26" i="2" s="1"/>
  <c r="D31" i="1"/>
  <c r="AD31" i="1" s="1"/>
  <c r="J26" i="2" s="1"/>
  <c r="AG30" i="1"/>
  <c r="K21" i="2" s="1"/>
  <c r="AF30" i="1"/>
  <c r="AE30" i="1"/>
  <c r="Y30" i="1"/>
  <c r="I21" i="2" s="1"/>
  <c r="T30" i="1"/>
  <c r="H21" i="2" s="1"/>
  <c r="O30" i="1"/>
  <c r="G21" i="2" s="1"/>
  <c r="D30" i="1"/>
  <c r="J30" i="1" s="1"/>
  <c r="F21" i="2" s="1"/>
  <c r="AF29" i="1"/>
  <c r="AE29" i="1"/>
  <c r="Y29" i="1"/>
  <c r="I17" i="2" s="1"/>
  <c r="T29" i="1"/>
  <c r="H17" i="2" s="1"/>
  <c r="O29" i="1"/>
  <c r="G17" i="2" s="1"/>
  <c r="D29" i="1"/>
  <c r="J29" i="1" s="1"/>
  <c r="F17" i="2" s="1"/>
  <c r="AF28" i="1"/>
  <c r="AE28" i="1"/>
  <c r="AG28" i="1" s="1"/>
  <c r="K20" i="2" s="1"/>
  <c r="AD28" i="1"/>
  <c r="J20" i="2" s="1"/>
  <c r="Y28" i="1"/>
  <c r="I20" i="2" s="1"/>
  <c r="T28" i="1"/>
  <c r="H20" i="2" s="1"/>
  <c r="O28" i="1"/>
  <c r="G20" i="2" s="1"/>
  <c r="J28" i="1"/>
  <c r="F20" i="2" s="1"/>
  <c r="D28" i="1"/>
  <c r="AF27" i="1"/>
  <c r="AE27" i="1"/>
  <c r="AD27" i="1"/>
  <c r="J12" i="2" s="1"/>
  <c r="Y27" i="1"/>
  <c r="I12" i="2" s="1"/>
  <c r="T27" i="1"/>
  <c r="H12" i="2" s="1"/>
  <c r="O27" i="1"/>
  <c r="G12" i="2" s="1"/>
  <c r="J27" i="1"/>
  <c r="F12" i="2" s="1"/>
  <c r="D27" i="1"/>
  <c r="AF26" i="1"/>
  <c r="AE26" i="1"/>
  <c r="AG26" i="1" s="1"/>
  <c r="K2" i="2" s="1"/>
  <c r="AD26" i="1"/>
  <c r="J2" i="2" s="1"/>
  <c r="Y26" i="1"/>
  <c r="I2" i="2" s="1"/>
  <c r="T26" i="1"/>
  <c r="H2" i="2" s="1"/>
  <c r="O26" i="1"/>
  <c r="G2" i="2" s="1"/>
  <c r="J26" i="1"/>
  <c r="F2" i="2" s="1"/>
  <c r="D26" i="1"/>
  <c r="AF25" i="1"/>
  <c r="AE25" i="1"/>
  <c r="AG25" i="1" s="1"/>
  <c r="K22" i="2" s="1"/>
  <c r="AD25" i="1"/>
  <c r="J22" i="2" s="1"/>
  <c r="Y25" i="1"/>
  <c r="I22" i="2" s="1"/>
  <c r="T25" i="1"/>
  <c r="H22" i="2" s="1"/>
  <c r="D25" i="1"/>
  <c r="O25" i="1" s="1"/>
  <c r="G22" i="2" s="1"/>
  <c r="AF24" i="1"/>
  <c r="AE24" i="1"/>
  <c r="D24" i="1"/>
  <c r="AD24" i="1" s="1"/>
  <c r="J7" i="2" s="1"/>
  <c r="AF23" i="1"/>
  <c r="AE23" i="1"/>
  <c r="D23" i="1"/>
  <c r="AD23" i="1" s="1"/>
  <c r="J11" i="2" s="1"/>
  <c r="AG22" i="1"/>
  <c r="K34" i="2" s="1"/>
  <c r="AF22" i="1"/>
  <c r="AE22" i="1"/>
  <c r="D22" i="1"/>
  <c r="AG21" i="1"/>
  <c r="K31" i="2" s="1"/>
  <c r="AF21" i="1"/>
  <c r="AE21" i="1"/>
  <c r="D21" i="1"/>
  <c r="AF20" i="1"/>
  <c r="AG20" i="1" s="1"/>
  <c r="K10" i="2" s="1"/>
  <c r="AE20" i="1"/>
  <c r="T20" i="1"/>
  <c r="H10" i="2" s="1"/>
  <c r="O20" i="1"/>
  <c r="G10" i="2" s="1"/>
  <c r="J20" i="1"/>
  <c r="F10" i="2" s="1"/>
  <c r="D20" i="1"/>
  <c r="Y20" i="1" s="1"/>
  <c r="I10" i="2" s="1"/>
  <c r="AG19" i="1"/>
  <c r="K19" i="2" s="1"/>
  <c r="AF19" i="1"/>
  <c r="AE19" i="1"/>
  <c r="Y19" i="1"/>
  <c r="I19" i="2" s="1"/>
  <c r="T19" i="1"/>
  <c r="H19" i="2" s="1"/>
  <c r="O19" i="1"/>
  <c r="G19" i="2" s="1"/>
  <c r="D19" i="1"/>
  <c r="J19" i="1" s="1"/>
  <c r="F19" i="2" s="1"/>
  <c r="AF18" i="1"/>
  <c r="AE18" i="1"/>
  <c r="AG18" i="1" s="1"/>
  <c r="K28" i="2" s="1"/>
  <c r="AD18" i="1"/>
  <c r="J28" i="2" s="1"/>
  <c r="Y18" i="1"/>
  <c r="I28" i="2" s="1"/>
  <c r="T18" i="1"/>
  <c r="H28" i="2" s="1"/>
  <c r="O18" i="1"/>
  <c r="G28" i="2" s="1"/>
  <c r="J18" i="1"/>
  <c r="F28" i="2" s="1"/>
  <c r="D18" i="1"/>
  <c r="AF17" i="1"/>
  <c r="AE17" i="1"/>
  <c r="AG17" i="1" s="1"/>
  <c r="K35" i="2" s="1"/>
  <c r="AD17" i="1"/>
  <c r="J35" i="2" s="1"/>
  <c r="Y17" i="1"/>
  <c r="I35" i="2" s="1"/>
  <c r="T17" i="1"/>
  <c r="H35" i="2" s="1"/>
  <c r="O17" i="1"/>
  <c r="G35" i="2" s="1"/>
  <c r="J17" i="1"/>
  <c r="F35" i="2" s="1"/>
  <c r="D17" i="1"/>
  <c r="AF16" i="1"/>
  <c r="AE16" i="1"/>
  <c r="AG16" i="1" s="1"/>
  <c r="K15" i="2" s="1"/>
  <c r="AD16" i="1"/>
  <c r="J15" i="2" s="1"/>
  <c r="Y16" i="1"/>
  <c r="I15" i="2" s="1"/>
  <c r="T16" i="1"/>
  <c r="H15" i="2" s="1"/>
  <c r="D16" i="1"/>
  <c r="O16" i="1" s="1"/>
  <c r="G15" i="2" s="1"/>
  <c r="AF15" i="1"/>
  <c r="AE15" i="1"/>
  <c r="AG15" i="1" s="1"/>
  <c r="K13" i="2" s="1"/>
  <c r="D15" i="1"/>
  <c r="AD15" i="1" s="1"/>
  <c r="J13" i="2" s="1"/>
  <c r="AG14" i="1"/>
  <c r="K5" i="2" s="1"/>
  <c r="AF14" i="1"/>
  <c r="AE14" i="1"/>
  <c r="D14" i="1"/>
  <c r="AG13" i="1"/>
  <c r="K9" i="2" s="1"/>
  <c r="AF13" i="1"/>
  <c r="AE13" i="1"/>
  <c r="D13" i="1"/>
  <c r="AF12" i="1"/>
  <c r="AG12" i="1" s="1"/>
  <c r="K33" i="2" s="1"/>
  <c r="AE12" i="1"/>
  <c r="T12" i="1"/>
  <c r="H33" i="2" s="1"/>
  <c r="O12" i="1"/>
  <c r="G33" i="2" s="1"/>
  <c r="J12" i="1"/>
  <c r="F33" i="2" s="1"/>
  <c r="D12" i="1"/>
  <c r="Y12" i="1" s="1"/>
  <c r="I33" i="2" s="1"/>
  <c r="AG11" i="1"/>
  <c r="K32" i="2" s="1"/>
  <c r="AF11" i="1"/>
  <c r="AE11" i="1"/>
  <c r="T11" i="1"/>
  <c r="H32" i="2" s="1"/>
  <c r="O11" i="1"/>
  <c r="G32" i="2" s="1"/>
  <c r="D11" i="1"/>
  <c r="J11" i="1" s="1"/>
  <c r="F32" i="2" s="1"/>
  <c r="AF10" i="1"/>
  <c r="AE10" i="1"/>
  <c r="AG10" i="1" s="1"/>
  <c r="K24" i="2" s="1"/>
  <c r="AD10" i="1"/>
  <c r="J24" i="2" s="1"/>
  <c r="Y10" i="1"/>
  <c r="I24" i="2" s="1"/>
  <c r="T10" i="1"/>
  <c r="H24" i="2" s="1"/>
  <c r="O10" i="1"/>
  <c r="G24" i="2" s="1"/>
  <c r="J10" i="1"/>
  <c r="F24" i="2" s="1"/>
  <c r="D10" i="1"/>
  <c r="AF9" i="1"/>
  <c r="AE9" i="1"/>
  <c r="AG9" i="1" s="1"/>
  <c r="K27" i="2" s="1"/>
  <c r="AD9" i="1"/>
  <c r="J27" i="2" s="1"/>
  <c r="Y9" i="1"/>
  <c r="I27" i="2" s="1"/>
  <c r="T9" i="1"/>
  <c r="H27" i="2" s="1"/>
  <c r="O9" i="1"/>
  <c r="G27" i="2" s="1"/>
  <c r="J9" i="1"/>
  <c r="F27" i="2" s="1"/>
  <c r="D9" i="1"/>
  <c r="AF8" i="1"/>
  <c r="AE8" i="1"/>
  <c r="AG8" i="1" s="1"/>
  <c r="K36" i="2" s="1"/>
  <c r="AD8" i="1"/>
  <c r="J36" i="2" s="1"/>
  <c r="Y8" i="1"/>
  <c r="I36" i="2" s="1"/>
  <c r="T8" i="1"/>
  <c r="H36" i="2" s="1"/>
  <c r="D8" i="1"/>
  <c r="O8" i="1" s="1"/>
  <c r="G36" i="2" s="1"/>
  <c r="AF7" i="1"/>
  <c r="AE7" i="1"/>
  <c r="AG7" i="1" s="1"/>
  <c r="K30" i="2" s="1"/>
  <c r="Y7" i="1"/>
  <c r="I30" i="2" s="1"/>
  <c r="D7" i="1"/>
  <c r="AD7" i="1" s="1"/>
  <c r="J30" i="2" s="1"/>
  <c r="AF6" i="1"/>
  <c r="AG6" i="1" s="1"/>
  <c r="K4" i="2" s="1"/>
  <c r="AE6" i="1"/>
  <c r="D6" i="1"/>
  <c r="AG5" i="1"/>
  <c r="K16" i="2" s="1"/>
  <c r="AF5" i="1"/>
  <c r="AE5" i="1"/>
  <c r="J5" i="1"/>
  <c r="F16" i="2" s="1"/>
  <c r="D5" i="1"/>
  <c r="AF4" i="1"/>
  <c r="AG4" i="1" s="1"/>
  <c r="K6" i="2" s="1"/>
  <c r="AE4" i="1"/>
  <c r="O4" i="1"/>
  <c r="G6" i="2" s="1"/>
  <c r="J4" i="1"/>
  <c r="F6" i="2" s="1"/>
  <c r="D4" i="1"/>
  <c r="AD4" i="1" s="1"/>
  <c r="J6" i="2" s="1"/>
  <c r="AG3" i="1"/>
  <c r="K18" i="2" s="1"/>
  <c r="AF3" i="1"/>
  <c r="AE3" i="1"/>
  <c r="T3" i="1"/>
  <c r="H18" i="2" s="1"/>
  <c r="O3" i="1"/>
  <c r="G18" i="2" s="1"/>
  <c r="D3" i="1"/>
  <c r="J3" i="1" s="1"/>
  <c r="F18" i="2" s="1"/>
  <c r="AD6" i="1" l="1"/>
  <c r="J4" i="2" s="1"/>
  <c r="Y6" i="1"/>
  <c r="I4" i="2" s="1"/>
  <c r="T6" i="1"/>
  <c r="H4" i="2" s="1"/>
  <c r="O6" i="1"/>
  <c r="G4" i="2" s="1"/>
  <c r="J6" i="1"/>
  <c r="F4" i="2" s="1"/>
  <c r="AD21" i="1"/>
  <c r="J31" i="2" s="1"/>
  <c r="T21" i="1"/>
  <c r="H31" i="2" s="1"/>
  <c r="O21" i="1"/>
  <c r="G31" i="2" s="1"/>
  <c r="Y21" i="1"/>
  <c r="I31" i="2" s="1"/>
  <c r="AD13" i="1"/>
  <c r="J9" i="2" s="1"/>
  <c r="T13" i="1"/>
  <c r="H9" i="2" s="1"/>
  <c r="Y13" i="1"/>
  <c r="I9" i="2" s="1"/>
  <c r="O13" i="1"/>
  <c r="G9" i="2" s="1"/>
  <c r="J21" i="1"/>
  <c r="F31" i="2" s="1"/>
  <c r="AD35" i="1"/>
  <c r="J14" i="2" s="1"/>
  <c r="Y35" i="1"/>
  <c r="I14" i="2" s="1"/>
  <c r="J35" i="1"/>
  <c r="F14" i="2" s="1"/>
  <c r="T35" i="1"/>
  <c r="H14" i="2" s="1"/>
  <c r="O35" i="1"/>
  <c r="G14" i="2" s="1"/>
  <c r="AD5" i="1"/>
  <c r="J16" i="2" s="1"/>
  <c r="T5" i="1"/>
  <c r="H16" i="2" s="1"/>
  <c r="O5" i="1"/>
  <c r="G16" i="2" s="1"/>
  <c r="Y5" i="1"/>
  <c r="I16" i="2" s="1"/>
  <c r="J13" i="1"/>
  <c r="F9" i="2" s="1"/>
  <c r="AG38" i="1"/>
  <c r="K37" i="2" s="1"/>
  <c r="AD22" i="1"/>
  <c r="J34" i="2" s="1"/>
  <c r="Y22" i="1"/>
  <c r="T22" i="1"/>
  <c r="H34" i="2" s="1"/>
  <c r="O22" i="1"/>
  <c r="G34" i="2" s="1"/>
  <c r="J22" i="1"/>
  <c r="F34" i="2" s="1"/>
  <c r="AG24" i="1"/>
  <c r="K7" i="2" s="1"/>
  <c r="AG37" i="1"/>
  <c r="K3" i="2" s="1"/>
  <c r="L3" i="2" s="1"/>
  <c r="AD14" i="1"/>
  <c r="J5" i="2" s="1"/>
  <c r="Y14" i="1"/>
  <c r="I5" i="2" s="1"/>
  <c r="O14" i="1"/>
  <c r="G5" i="2" s="1"/>
  <c r="J14" i="1"/>
  <c r="F5" i="2" s="1"/>
  <c r="T14" i="1"/>
  <c r="H5" i="2" s="1"/>
  <c r="T4" i="1"/>
  <c r="H6" i="2" s="1"/>
  <c r="Y11" i="1"/>
  <c r="I32" i="2" s="1"/>
  <c r="Y3" i="1"/>
  <c r="I18" i="2" s="1"/>
  <c r="O34" i="1"/>
  <c r="G23" i="2" s="1"/>
  <c r="Y4" i="1"/>
  <c r="I6" i="2" s="1"/>
  <c r="J24" i="1"/>
  <c r="F7" i="2" s="1"/>
  <c r="AD30" i="1"/>
  <c r="J21" i="2" s="1"/>
  <c r="Y31" i="1"/>
  <c r="I26" i="2" s="1"/>
  <c r="Y32" i="1"/>
  <c r="I8" i="2" s="1"/>
  <c r="Y33" i="1"/>
  <c r="I25" i="2" s="1"/>
  <c r="T34" i="1"/>
  <c r="H23" i="2" s="1"/>
  <c r="J36" i="1"/>
  <c r="F29" i="2" s="1"/>
  <c r="O7" i="1"/>
  <c r="G30" i="2" s="1"/>
  <c r="J8" i="1"/>
  <c r="F36" i="2" s="1"/>
  <c r="AD12" i="1"/>
  <c r="J33" i="2" s="1"/>
  <c r="O15" i="1"/>
  <c r="G13" i="2" s="1"/>
  <c r="J16" i="1"/>
  <c r="F15" i="2" s="1"/>
  <c r="AD20" i="1"/>
  <c r="J10" i="2" s="1"/>
  <c r="O23" i="1"/>
  <c r="G11" i="2" s="1"/>
  <c r="O24" i="1"/>
  <c r="G7" i="2" s="1"/>
  <c r="J25" i="1"/>
  <c r="F22" i="2" s="1"/>
  <c r="Y34" i="1"/>
  <c r="I23" i="2" s="1"/>
  <c r="O36" i="1"/>
  <c r="G29" i="2" s="1"/>
  <c r="AD3" i="1"/>
  <c r="J18" i="2" s="1"/>
  <c r="J7" i="1"/>
  <c r="F30" i="2" s="1"/>
  <c r="AD11" i="1"/>
  <c r="J32" i="2" s="1"/>
  <c r="J15" i="1"/>
  <c r="F13" i="2" s="1"/>
  <c r="AD19" i="1"/>
  <c r="J19" i="2" s="1"/>
  <c r="J23" i="1"/>
  <c r="F11" i="2" s="1"/>
  <c r="AD29" i="1"/>
  <c r="J17" i="2" s="1"/>
  <c r="T7" i="1"/>
  <c r="H30" i="2" s="1"/>
  <c r="T15" i="1"/>
  <c r="H13" i="2" s="1"/>
  <c r="T23" i="1"/>
  <c r="H11" i="2" s="1"/>
  <c r="T24" i="1"/>
  <c r="H7" i="2" s="1"/>
  <c r="T36" i="1"/>
  <c r="H29" i="2" s="1"/>
  <c r="Y15" i="1"/>
  <c r="I13" i="2" s="1"/>
  <c r="Y23" i="1"/>
  <c r="I11" i="2" s="1"/>
  <c r="Y24" i="1"/>
  <c r="I7" i="2" s="1"/>
  <c r="Y36" i="1"/>
  <c r="I29" i="2" s="1"/>
  <c r="L30" i="2" l="1"/>
  <c r="L9" i="2"/>
  <c r="L20" i="2"/>
  <c r="L19" i="2"/>
  <c r="L23" i="2"/>
  <c r="L4" i="2"/>
  <c r="L37" i="2"/>
  <c r="L13" i="2"/>
  <c r="L28" i="2"/>
  <c r="L34" i="2"/>
  <c r="L6" i="2"/>
  <c r="L29" i="2"/>
  <c r="L7" i="2"/>
  <c r="L14" i="2"/>
  <c r="L27" i="2"/>
  <c r="L35" i="2"/>
  <c r="L12" i="2"/>
  <c r="L31" i="2"/>
  <c r="L8" i="2"/>
  <c r="L18" i="2"/>
  <c r="L32" i="2"/>
  <c r="L26" i="2"/>
  <c r="L24" i="2"/>
  <c r="L15" i="2"/>
  <c r="L17" i="2"/>
  <c r="L36" i="2"/>
  <c r="L21" i="2"/>
  <c r="L33" i="2"/>
  <c r="L5" i="2"/>
  <c r="L11" i="2"/>
  <c r="L25" i="2"/>
  <c r="L16" i="2"/>
  <c r="L10" i="2"/>
  <c r="L22" i="2"/>
  <c r="L2" i="2"/>
</calcChain>
</file>

<file path=xl/sharedStrings.xml><?xml version="1.0" encoding="utf-8"?>
<sst xmlns="http://schemas.openxmlformats.org/spreadsheetml/2006/main" count="357" uniqueCount="69">
  <si>
    <t>GIOCATORI</t>
  </si>
  <si>
    <t>1 GIORNATA</t>
  </si>
  <si>
    <t xml:space="preserve">Totale </t>
  </si>
  <si>
    <t>2 GIORNATA</t>
  </si>
  <si>
    <t>Totale</t>
  </si>
  <si>
    <t>3 GIORNATA</t>
  </si>
  <si>
    <t>4 GIORNATA</t>
  </si>
  <si>
    <t>5 GIORNATA</t>
  </si>
  <si>
    <t>CAT.</t>
  </si>
  <si>
    <t>HDP+5 PER LE DONNE</t>
  </si>
  <si>
    <t>totale hdp x 4 partite</t>
  </si>
  <si>
    <t>AS</t>
  </si>
  <si>
    <t>TOTALE                   Scratch</t>
  </si>
  <si>
    <t>HPD-totale</t>
  </si>
  <si>
    <t>TOLE+HDP</t>
  </si>
  <si>
    <t>Prvovenzi Tino</t>
  </si>
  <si>
    <t>M/A</t>
  </si>
  <si>
    <t>Cobra</t>
  </si>
  <si>
    <t xml:space="preserve">Erario Carlo </t>
  </si>
  <si>
    <t>Cafaro Giovanni</t>
  </si>
  <si>
    <t>M/B</t>
  </si>
  <si>
    <t>Brunati Luigi</t>
  </si>
  <si>
    <t>M/C</t>
  </si>
  <si>
    <t>Silver Horse</t>
  </si>
  <si>
    <t>Presta Antonio</t>
  </si>
  <si>
    <t>Moscardi Antonio</t>
  </si>
  <si>
    <t>Radice Mario</t>
  </si>
  <si>
    <t>Reduzzi Stefania</t>
  </si>
  <si>
    <t>F/B</t>
  </si>
  <si>
    <t>Phoenix</t>
  </si>
  <si>
    <t>Maroni Michela</t>
  </si>
  <si>
    <t>F/D</t>
  </si>
  <si>
    <t>Ditommaso Davide</t>
  </si>
  <si>
    <t>Naimoli Fabrizio</t>
  </si>
  <si>
    <t>Galbiati Fabio</t>
  </si>
  <si>
    <t>Lions</t>
  </si>
  <si>
    <t>Zorzan Marco</t>
  </si>
  <si>
    <t>Mineo Marco</t>
  </si>
  <si>
    <t>Fecchio Antonio</t>
  </si>
  <si>
    <t>M/D</t>
  </si>
  <si>
    <t>Lamberti Giuseppe</t>
  </si>
  <si>
    <t>Galli Andrea</t>
  </si>
  <si>
    <t>De Meo Mchele</t>
  </si>
  <si>
    <t>M/eso</t>
  </si>
  <si>
    <t>Carovana Daniela</t>
  </si>
  <si>
    <t>F/C</t>
  </si>
  <si>
    <t>GalifI Croberto</t>
  </si>
  <si>
    <t>Di Mauro Duilio</t>
  </si>
  <si>
    <t>Ligato Massimo</t>
  </si>
  <si>
    <t>Ligato Luca</t>
  </si>
  <si>
    <t>M/AM</t>
  </si>
  <si>
    <t>Ligato Andrea</t>
  </si>
  <si>
    <t>Dennis Labasan</t>
  </si>
  <si>
    <t>De Castro Aileen</t>
  </si>
  <si>
    <t>De Castro Ronaldo</t>
  </si>
  <si>
    <t>Precedes Cabral</t>
  </si>
  <si>
    <t>Ana Maria Abante</t>
  </si>
  <si>
    <t>Paul Russel Es</t>
  </si>
  <si>
    <t>Zica Virginia</t>
  </si>
  <si>
    <t>Insubria</t>
  </si>
  <si>
    <t>Esposito Gennaro</t>
  </si>
  <si>
    <t>Pegaso</t>
  </si>
  <si>
    <t>Mollica MeMè</t>
  </si>
  <si>
    <t>Giuffrida Alfio</t>
  </si>
  <si>
    <t>Alessandro Delcarmine</t>
  </si>
  <si>
    <t>Redaelli Roberto</t>
  </si>
  <si>
    <t>TOTALE CON HDP</t>
  </si>
  <si>
    <t>classifica</t>
  </si>
  <si>
    <t>De Meo Michele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</si>
</sst>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  <scheme val="minor"/>
    </font>
    <font>
      <b/>
      <sz val="26"/>
      <name val="Calibri"/>
    </font>
    <font>
      <sz val="11"/>
      <name val="Calibri"/>
    </font>
    <font>
      <sz val="11"/>
      <name val="Calibri"/>
    </font>
    <font>
      <b/>
      <sz val="15"/>
      <name val="Calibri"/>
    </font>
    <font>
      <b/>
      <sz val="22"/>
      <name val="Calibri"/>
    </font>
    <font>
      <b/>
      <sz val="11"/>
      <name val="Calibri"/>
    </font>
    <font>
      <b/>
      <sz val="36"/>
      <name val="Calibri"/>
    </font>
    <font>
      <b/>
      <sz val="18"/>
      <name val="Calibri"/>
    </font>
    <font>
      <b/>
      <sz val="16"/>
      <name val="Calibri"/>
    </font>
    <font>
      <sz val="18"/>
      <name val="Calibri"/>
    </font>
    <font>
      <b/>
      <sz val="17"/>
      <name val="Calibri"/>
    </font>
    <font>
      <sz val="16"/>
      <name val="Calibri"/>
    </font>
    <font>
      <b/>
      <sz val="14"/>
      <name val="Calibri"/>
    </font>
    <font>
      <b/>
      <sz val="12"/>
      <name val="Calibri"/>
    </font>
    <font>
      <sz val="2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3" fontId="9" fillId="2" borderId="8" xfId="0" applyNumberFormat="1" applyFont="1" applyFill="1" applyBorder="1" applyAlignment="1">
      <alignment horizontal="center" vertical="center" wrapText="1"/>
    </xf>
    <xf numFmtId="3" fontId="9" fillId="2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11" fillId="0" borderId="8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2" fillId="0" borderId="0" xfId="0" applyFont="1" applyAlignment="1">
      <alignment horizontal="center"/>
    </xf>
    <xf numFmtId="0" fontId="2" fillId="0" borderId="4" xfId="0" applyFont="1" applyBorder="1"/>
    <xf numFmtId="3" fontId="9" fillId="0" borderId="0" xfId="0" applyNumberFormat="1" applyFont="1" applyAlignment="1">
      <alignment horizont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3" fontId="14" fillId="3" borderId="8" xfId="0" applyNumberFormat="1" applyFont="1" applyFill="1" applyBorder="1" applyAlignment="1">
      <alignment horizontal="center" vertical="center" wrapText="1"/>
    </xf>
    <xf numFmtId="3" fontId="9" fillId="3" borderId="8" xfId="0" applyNumberFormat="1" applyFont="1" applyFill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0" fontId="2" fillId="0" borderId="4" xfId="0" applyFont="1" applyBorder="1"/>
    <xf numFmtId="3" fontId="2" fillId="0" borderId="4" xfId="0" applyNumberFormat="1" applyFont="1" applyBorder="1"/>
    <xf numFmtId="3" fontId="15" fillId="0" borderId="4" xfId="0" applyNumberFormat="1" applyFont="1" applyBorder="1"/>
    <xf numFmtId="3" fontId="2" fillId="0" borderId="4" xfId="0" applyNumberFormat="1" applyFont="1" applyBorder="1"/>
    <xf numFmtId="3" fontId="15" fillId="0" borderId="4" xfId="0" applyNumberFormat="1" applyFont="1" applyBorder="1"/>
    <xf numFmtId="0" fontId="1" fillId="3" borderId="2" xfId="0" applyFont="1" applyFill="1" applyBorder="1" applyAlignment="1">
      <alignment horizontal="center" vertical="center"/>
    </xf>
    <xf numFmtId="0" fontId="3" fillId="0" borderId="3" xfId="0" applyFont="1" applyBorder="1"/>
  </cellXfs>
  <cellStyles count="1">
    <cellStyle name="Normale" xfId="0" builtinId="0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8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4.44140625" defaultRowHeight="15" customHeight="1"/>
  <cols>
    <col min="1" max="1" width="27.44140625" customWidth="1"/>
    <col min="2" max="2" width="8.6640625" customWidth="1"/>
    <col min="3" max="3" width="13.88671875" customWidth="1"/>
    <col min="4" max="4" width="18.5546875" customWidth="1"/>
    <col min="5" max="5" width="19.6640625" customWidth="1"/>
    <col min="6" max="14" width="8.6640625" customWidth="1"/>
    <col min="15" max="15" width="8.44140625" customWidth="1"/>
    <col min="16" max="19" width="8.6640625" customWidth="1"/>
    <col min="20" max="20" width="8.33203125" customWidth="1"/>
    <col min="21" max="24" width="8.6640625" customWidth="1"/>
    <col min="25" max="25" width="8.5546875" customWidth="1"/>
    <col min="26" max="26" width="8.109375" customWidth="1"/>
    <col min="27" max="29" width="8.6640625" customWidth="1"/>
    <col min="30" max="30" width="8.5546875" customWidth="1"/>
    <col min="31" max="31" width="14.109375" customWidth="1"/>
    <col min="32" max="32" width="10.5546875" customWidth="1"/>
    <col min="33" max="33" width="14.33203125" customWidth="1"/>
  </cols>
  <sheetData>
    <row r="1" spans="1:33" ht="28.5" customHeight="1">
      <c r="A1" s="1" t="s">
        <v>0</v>
      </c>
      <c r="B1" s="2"/>
      <c r="C1" s="2"/>
      <c r="D1" s="2"/>
      <c r="E1" s="2"/>
      <c r="F1" s="42" t="s">
        <v>1</v>
      </c>
      <c r="G1" s="43"/>
      <c r="H1" s="43"/>
      <c r="I1" s="43"/>
      <c r="J1" s="3" t="s">
        <v>2</v>
      </c>
      <c r="K1" s="42" t="s">
        <v>3</v>
      </c>
      <c r="L1" s="43"/>
      <c r="M1" s="43"/>
      <c r="N1" s="43"/>
      <c r="O1" s="3" t="s">
        <v>4</v>
      </c>
      <c r="P1" s="42" t="s">
        <v>5</v>
      </c>
      <c r="Q1" s="43"/>
      <c r="R1" s="43"/>
      <c r="S1" s="43"/>
      <c r="T1" s="3" t="s">
        <v>4</v>
      </c>
      <c r="U1" s="42" t="s">
        <v>6</v>
      </c>
      <c r="V1" s="43"/>
      <c r="W1" s="43"/>
      <c r="X1" s="43"/>
      <c r="Y1" s="3" t="s">
        <v>4</v>
      </c>
      <c r="Z1" s="42" t="s">
        <v>7</v>
      </c>
      <c r="AA1" s="43"/>
      <c r="AB1" s="43"/>
      <c r="AC1" s="43"/>
      <c r="AD1" s="3" t="s">
        <v>4</v>
      </c>
      <c r="AE1" s="4"/>
      <c r="AF1" s="4"/>
      <c r="AG1" s="4"/>
    </row>
    <row r="2" spans="1:33" ht="54" customHeight="1">
      <c r="A2" s="5" t="s">
        <v>0</v>
      </c>
      <c r="B2" s="6" t="s">
        <v>8</v>
      </c>
      <c r="C2" s="7" t="s">
        <v>9</v>
      </c>
      <c r="D2" s="8" t="s">
        <v>10</v>
      </c>
      <c r="E2" s="9" t="s">
        <v>11</v>
      </c>
      <c r="F2" s="10">
        <v>1</v>
      </c>
      <c r="G2" s="10">
        <v>2</v>
      </c>
      <c r="H2" s="10">
        <v>3</v>
      </c>
      <c r="I2" s="10">
        <v>4</v>
      </c>
      <c r="J2" s="11"/>
      <c r="K2" s="10">
        <v>1</v>
      </c>
      <c r="L2" s="10">
        <v>2</v>
      </c>
      <c r="M2" s="10">
        <v>3</v>
      </c>
      <c r="N2" s="10">
        <v>4</v>
      </c>
      <c r="O2" s="11"/>
      <c r="P2" s="10">
        <v>1</v>
      </c>
      <c r="Q2" s="10">
        <v>2</v>
      </c>
      <c r="R2" s="10">
        <v>3</v>
      </c>
      <c r="S2" s="10">
        <v>4</v>
      </c>
      <c r="T2" s="11"/>
      <c r="U2" s="10">
        <v>1</v>
      </c>
      <c r="V2" s="10">
        <v>2</v>
      </c>
      <c r="W2" s="10">
        <v>3</v>
      </c>
      <c r="X2" s="10">
        <v>4</v>
      </c>
      <c r="Y2" s="11"/>
      <c r="Z2" s="10">
        <v>1</v>
      </c>
      <c r="AA2" s="10">
        <v>2</v>
      </c>
      <c r="AB2" s="10">
        <v>3</v>
      </c>
      <c r="AC2" s="10">
        <v>4</v>
      </c>
      <c r="AD2" s="11"/>
      <c r="AE2" s="12" t="s">
        <v>12</v>
      </c>
      <c r="AF2" s="12" t="s">
        <v>13</v>
      </c>
      <c r="AG2" s="13" t="s">
        <v>14</v>
      </c>
    </row>
    <row r="3" spans="1:33" ht="21" customHeight="1">
      <c r="A3" s="14" t="s">
        <v>15</v>
      </c>
      <c r="B3" s="14" t="s">
        <v>16</v>
      </c>
      <c r="C3" s="14">
        <v>0</v>
      </c>
      <c r="D3" s="14">
        <f t="shared" ref="D3:D36" si="0">C3*4</f>
        <v>0</v>
      </c>
      <c r="E3" s="14" t="s">
        <v>17</v>
      </c>
      <c r="F3" s="15">
        <v>208</v>
      </c>
      <c r="G3" s="15">
        <v>224</v>
      </c>
      <c r="H3" s="15">
        <v>188</v>
      </c>
      <c r="I3" s="15">
        <v>181</v>
      </c>
      <c r="J3" s="16">
        <f t="shared" ref="J3:J38" si="1">SUM(F3:I3)+D3</f>
        <v>801</v>
      </c>
      <c r="K3" s="15">
        <v>182</v>
      </c>
      <c r="L3" s="15">
        <v>187</v>
      </c>
      <c r="M3" s="15">
        <v>181</v>
      </c>
      <c r="N3" s="15">
        <v>183</v>
      </c>
      <c r="O3" s="16">
        <f>SUM(K3:N3)+D3</f>
        <v>733</v>
      </c>
      <c r="P3" s="15">
        <v>162</v>
      </c>
      <c r="Q3" s="15">
        <v>202</v>
      </c>
      <c r="R3" s="15">
        <v>185</v>
      </c>
      <c r="S3" s="15">
        <v>192</v>
      </c>
      <c r="T3" s="16">
        <f t="shared" ref="T3:T38" si="2">SUM(P3:S3)+D3</f>
        <v>741</v>
      </c>
      <c r="U3" s="15"/>
      <c r="V3" s="15"/>
      <c r="W3" s="15"/>
      <c r="X3" s="15"/>
      <c r="Y3" s="16">
        <f t="shared" ref="Y3:Y38" si="3">SUM(U3:X3)+D3</f>
        <v>0</v>
      </c>
      <c r="Z3" s="15"/>
      <c r="AA3" s="15"/>
      <c r="AB3" s="15"/>
      <c r="AC3" s="15"/>
      <c r="AD3" s="16">
        <f t="shared" ref="AD3:AD38" si="4">SUM(Z3:AC3)+D3</f>
        <v>0</v>
      </c>
      <c r="AE3" s="17">
        <f t="shared" ref="AE3:AE38" si="5">SUM(F3+G3+H3+I3+K3+L3+M3+N3+P3+Q3+R3+S3+U3+V3+W3+X3+Z3+AA3+AB3+AC3)</f>
        <v>2275</v>
      </c>
      <c r="AF3" s="17">
        <f t="shared" ref="AF3:AF38" si="6">C3*20</f>
        <v>0</v>
      </c>
      <c r="AG3" s="17">
        <f t="shared" ref="AG3:AG22" si="7">AE3+AF3</f>
        <v>2275</v>
      </c>
    </row>
    <row r="4" spans="1:33" ht="21" customHeight="1">
      <c r="A4" s="14" t="s">
        <v>18</v>
      </c>
      <c r="B4" s="14" t="s">
        <v>16</v>
      </c>
      <c r="C4" s="14">
        <v>0</v>
      </c>
      <c r="D4" s="14">
        <f t="shared" si="0"/>
        <v>0</v>
      </c>
      <c r="E4" s="14" t="s">
        <v>17</v>
      </c>
      <c r="F4" s="18">
        <v>195</v>
      </c>
      <c r="G4" s="18">
        <v>257</v>
      </c>
      <c r="H4" s="18">
        <v>196</v>
      </c>
      <c r="I4" s="18">
        <v>236</v>
      </c>
      <c r="J4" s="19">
        <f t="shared" si="1"/>
        <v>884</v>
      </c>
      <c r="K4" s="18">
        <v>213</v>
      </c>
      <c r="L4" s="18">
        <v>236</v>
      </c>
      <c r="M4" s="18">
        <v>177</v>
      </c>
      <c r="N4" s="18">
        <v>201</v>
      </c>
      <c r="O4" s="19">
        <f t="shared" ref="O4:O38" si="8">K4+L4+M4+N4+D4</f>
        <v>827</v>
      </c>
      <c r="P4" s="18">
        <v>202</v>
      </c>
      <c r="Q4" s="18">
        <v>246</v>
      </c>
      <c r="R4" s="18">
        <v>172</v>
      </c>
      <c r="S4" s="18">
        <v>196</v>
      </c>
      <c r="T4" s="19">
        <f t="shared" si="2"/>
        <v>816</v>
      </c>
      <c r="U4" s="18"/>
      <c r="V4" s="20"/>
      <c r="W4" s="18"/>
      <c r="X4" s="18"/>
      <c r="Y4" s="19">
        <f t="shared" si="3"/>
        <v>0</v>
      </c>
      <c r="Z4" s="18"/>
      <c r="AA4" s="18"/>
      <c r="AB4" s="18"/>
      <c r="AC4" s="18"/>
      <c r="AD4" s="19">
        <f t="shared" si="4"/>
        <v>0</v>
      </c>
      <c r="AE4" s="21">
        <f t="shared" si="5"/>
        <v>2527</v>
      </c>
      <c r="AF4" s="21">
        <f t="shared" si="6"/>
        <v>0</v>
      </c>
      <c r="AG4" s="21">
        <f t="shared" si="7"/>
        <v>2527</v>
      </c>
    </row>
    <row r="5" spans="1:33" ht="21" customHeight="1">
      <c r="A5" s="14" t="s">
        <v>19</v>
      </c>
      <c r="B5" s="14" t="s">
        <v>20</v>
      </c>
      <c r="C5" s="14">
        <v>5</v>
      </c>
      <c r="D5" s="14">
        <f t="shared" si="0"/>
        <v>20</v>
      </c>
      <c r="E5" s="14" t="s">
        <v>17</v>
      </c>
      <c r="F5" s="18">
        <v>182</v>
      </c>
      <c r="G5" s="18">
        <v>181</v>
      </c>
      <c r="H5" s="18">
        <v>217</v>
      </c>
      <c r="I5" s="18">
        <v>211</v>
      </c>
      <c r="J5" s="19">
        <f t="shared" si="1"/>
        <v>811</v>
      </c>
      <c r="K5" s="18">
        <v>194</v>
      </c>
      <c r="L5" s="18">
        <v>190</v>
      </c>
      <c r="M5" s="18">
        <v>267</v>
      </c>
      <c r="N5" s="18">
        <v>215</v>
      </c>
      <c r="O5" s="19">
        <f t="shared" si="8"/>
        <v>886</v>
      </c>
      <c r="P5" s="18">
        <v>175</v>
      </c>
      <c r="Q5" s="18">
        <v>168</v>
      </c>
      <c r="R5" s="18">
        <v>169</v>
      </c>
      <c r="S5" s="18">
        <v>218</v>
      </c>
      <c r="T5" s="19">
        <f t="shared" si="2"/>
        <v>750</v>
      </c>
      <c r="U5" s="18"/>
      <c r="V5" s="18"/>
      <c r="W5" s="18"/>
      <c r="X5" s="18"/>
      <c r="Y5" s="19">
        <f t="shared" si="3"/>
        <v>20</v>
      </c>
      <c r="Z5" s="18"/>
      <c r="AA5" s="18"/>
      <c r="AB5" s="18"/>
      <c r="AC5" s="18"/>
      <c r="AD5" s="19">
        <f t="shared" si="4"/>
        <v>20</v>
      </c>
      <c r="AE5" s="21">
        <f t="shared" si="5"/>
        <v>2387</v>
      </c>
      <c r="AF5" s="21">
        <f t="shared" si="6"/>
        <v>100</v>
      </c>
      <c r="AG5" s="21">
        <f t="shared" si="7"/>
        <v>2487</v>
      </c>
    </row>
    <row r="6" spans="1:33" ht="21" customHeight="1">
      <c r="A6" s="14" t="s">
        <v>21</v>
      </c>
      <c r="B6" s="14" t="s">
        <v>22</v>
      </c>
      <c r="C6" s="14">
        <v>10</v>
      </c>
      <c r="D6" s="14">
        <f t="shared" si="0"/>
        <v>40</v>
      </c>
      <c r="E6" s="14" t="s">
        <v>23</v>
      </c>
      <c r="F6" s="18">
        <v>258</v>
      </c>
      <c r="G6" s="18">
        <v>220</v>
      </c>
      <c r="H6" s="18">
        <v>171</v>
      </c>
      <c r="I6" s="18">
        <v>203</v>
      </c>
      <c r="J6" s="19">
        <f t="shared" si="1"/>
        <v>892</v>
      </c>
      <c r="K6" s="18">
        <v>150</v>
      </c>
      <c r="L6" s="18">
        <v>155</v>
      </c>
      <c r="M6" s="18">
        <v>182</v>
      </c>
      <c r="N6" s="18">
        <v>136</v>
      </c>
      <c r="O6" s="19">
        <f t="shared" si="8"/>
        <v>663</v>
      </c>
      <c r="P6" s="18">
        <v>174</v>
      </c>
      <c r="Q6" s="18">
        <v>159</v>
      </c>
      <c r="R6" s="18">
        <v>178</v>
      </c>
      <c r="S6" s="18">
        <v>160</v>
      </c>
      <c r="T6" s="19">
        <f t="shared" si="2"/>
        <v>711</v>
      </c>
      <c r="U6" s="18">
        <v>188</v>
      </c>
      <c r="V6" s="18">
        <v>239</v>
      </c>
      <c r="W6" s="18">
        <v>185</v>
      </c>
      <c r="X6" s="18">
        <v>159</v>
      </c>
      <c r="Y6" s="19">
        <f t="shared" si="3"/>
        <v>811</v>
      </c>
      <c r="Z6" s="18"/>
      <c r="AA6" s="18"/>
      <c r="AB6" s="18"/>
      <c r="AC6" s="18"/>
      <c r="AD6" s="19">
        <f t="shared" si="4"/>
        <v>40</v>
      </c>
      <c r="AE6" s="21">
        <f t="shared" si="5"/>
        <v>2917</v>
      </c>
      <c r="AF6" s="21">
        <f t="shared" si="6"/>
        <v>200</v>
      </c>
      <c r="AG6" s="21">
        <f t="shared" si="7"/>
        <v>3117</v>
      </c>
    </row>
    <row r="7" spans="1:33" ht="21" customHeight="1">
      <c r="A7" s="14" t="s">
        <v>24</v>
      </c>
      <c r="B7" s="14" t="s">
        <v>22</v>
      </c>
      <c r="C7" s="14">
        <v>10</v>
      </c>
      <c r="D7" s="14">
        <f t="shared" si="0"/>
        <v>40</v>
      </c>
      <c r="E7" s="14" t="s">
        <v>23</v>
      </c>
      <c r="F7" s="18">
        <v>170</v>
      </c>
      <c r="G7" s="18">
        <v>166</v>
      </c>
      <c r="H7" s="18">
        <v>173</v>
      </c>
      <c r="I7" s="18">
        <v>157</v>
      </c>
      <c r="J7" s="19">
        <f t="shared" si="1"/>
        <v>706</v>
      </c>
      <c r="K7" s="18">
        <v>199</v>
      </c>
      <c r="L7" s="18">
        <v>185</v>
      </c>
      <c r="M7" s="18">
        <v>164</v>
      </c>
      <c r="N7" s="18">
        <v>154</v>
      </c>
      <c r="O7" s="19">
        <f t="shared" si="8"/>
        <v>742</v>
      </c>
      <c r="P7" s="18">
        <v>146</v>
      </c>
      <c r="Q7" s="18">
        <v>118</v>
      </c>
      <c r="R7" s="18">
        <v>161</v>
      </c>
      <c r="S7" s="18">
        <v>180</v>
      </c>
      <c r="T7" s="19">
        <f t="shared" si="2"/>
        <v>645</v>
      </c>
      <c r="U7" s="18">
        <v>194</v>
      </c>
      <c r="V7" s="18">
        <v>192</v>
      </c>
      <c r="W7" s="18">
        <v>170</v>
      </c>
      <c r="X7" s="18">
        <v>146</v>
      </c>
      <c r="Y7" s="19">
        <f t="shared" si="3"/>
        <v>742</v>
      </c>
      <c r="Z7" s="18"/>
      <c r="AA7" s="18"/>
      <c r="AB7" s="18"/>
      <c r="AC7" s="18"/>
      <c r="AD7" s="19">
        <f t="shared" si="4"/>
        <v>40</v>
      </c>
      <c r="AE7" s="21">
        <f t="shared" si="5"/>
        <v>2675</v>
      </c>
      <c r="AF7" s="21">
        <f t="shared" si="6"/>
        <v>200</v>
      </c>
      <c r="AG7" s="21">
        <f t="shared" si="7"/>
        <v>2875</v>
      </c>
    </row>
    <row r="8" spans="1:33" ht="21" customHeight="1">
      <c r="A8" s="14" t="s">
        <v>25</v>
      </c>
      <c r="B8" s="14" t="s">
        <v>22</v>
      </c>
      <c r="C8" s="14">
        <v>10</v>
      </c>
      <c r="D8" s="14">
        <f t="shared" si="0"/>
        <v>40</v>
      </c>
      <c r="E8" s="14" t="s">
        <v>23</v>
      </c>
      <c r="F8" s="18">
        <v>152</v>
      </c>
      <c r="G8" s="18">
        <v>219</v>
      </c>
      <c r="H8" s="18">
        <v>235</v>
      </c>
      <c r="I8" s="18">
        <v>168</v>
      </c>
      <c r="J8" s="19">
        <f t="shared" si="1"/>
        <v>814</v>
      </c>
      <c r="K8" s="18">
        <v>235</v>
      </c>
      <c r="L8" s="18">
        <v>200</v>
      </c>
      <c r="M8" s="18">
        <v>140</v>
      </c>
      <c r="N8" s="18">
        <v>144</v>
      </c>
      <c r="O8" s="19">
        <f t="shared" si="8"/>
        <v>759</v>
      </c>
      <c r="P8" s="18">
        <v>162</v>
      </c>
      <c r="Q8" s="18">
        <v>176</v>
      </c>
      <c r="R8" s="18">
        <v>144</v>
      </c>
      <c r="S8" s="18">
        <v>166</v>
      </c>
      <c r="T8" s="19">
        <f t="shared" si="2"/>
        <v>688</v>
      </c>
      <c r="U8" s="18">
        <v>158</v>
      </c>
      <c r="V8" s="18">
        <v>175</v>
      </c>
      <c r="W8" s="18">
        <v>182</v>
      </c>
      <c r="X8" s="18">
        <v>166</v>
      </c>
      <c r="Y8" s="19">
        <f t="shared" si="3"/>
        <v>721</v>
      </c>
      <c r="Z8" s="18"/>
      <c r="AA8" s="18"/>
      <c r="AB8" s="18"/>
      <c r="AC8" s="18"/>
      <c r="AD8" s="19">
        <f t="shared" si="4"/>
        <v>40</v>
      </c>
      <c r="AE8" s="21">
        <f t="shared" si="5"/>
        <v>2822</v>
      </c>
      <c r="AF8" s="21">
        <f t="shared" si="6"/>
        <v>200</v>
      </c>
      <c r="AG8" s="21">
        <f t="shared" si="7"/>
        <v>3022</v>
      </c>
    </row>
    <row r="9" spans="1:33" ht="21" customHeight="1">
      <c r="A9" s="14" t="s">
        <v>26</v>
      </c>
      <c r="B9" s="14" t="s">
        <v>22</v>
      </c>
      <c r="C9" s="14">
        <v>10</v>
      </c>
      <c r="D9" s="14">
        <f t="shared" si="0"/>
        <v>40</v>
      </c>
      <c r="E9" s="14" t="s">
        <v>23</v>
      </c>
      <c r="F9" s="18">
        <v>179</v>
      </c>
      <c r="G9" s="18">
        <v>161</v>
      </c>
      <c r="H9" s="18">
        <v>186</v>
      </c>
      <c r="I9" s="18">
        <v>163</v>
      </c>
      <c r="J9" s="19">
        <f t="shared" si="1"/>
        <v>729</v>
      </c>
      <c r="K9" s="18">
        <v>204</v>
      </c>
      <c r="L9" s="18">
        <v>166</v>
      </c>
      <c r="M9" s="18">
        <v>157</v>
      </c>
      <c r="N9" s="18">
        <v>181</v>
      </c>
      <c r="O9" s="19">
        <f t="shared" si="8"/>
        <v>748</v>
      </c>
      <c r="P9" s="18">
        <v>179</v>
      </c>
      <c r="Q9" s="18">
        <v>199</v>
      </c>
      <c r="R9" s="18">
        <v>212</v>
      </c>
      <c r="S9" s="18">
        <v>161</v>
      </c>
      <c r="T9" s="19">
        <f t="shared" si="2"/>
        <v>791</v>
      </c>
      <c r="U9" s="18">
        <v>167</v>
      </c>
      <c r="V9" s="18">
        <v>192</v>
      </c>
      <c r="W9" s="18">
        <v>169</v>
      </c>
      <c r="X9" s="18">
        <v>190</v>
      </c>
      <c r="Y9" s="19">
        <f t="shared" si="3"/>
        <v>758</v>
      </c>
      <c r="Z9" s="18"/>
      <c r="AA9" s="18"/>
      <c r="AB9" s="18"/>
      <c r="AC9" s="18"/>
      <c r="AD9" s="19">
        <f t="shared" si="4"/>
        <v>40</v>
      </c>
      <c r="AE9" s="21">
        <f t="shared" si="5"/>
        <v>2866</v>
      </c>
      <c r="AF9" s="21">
        <f t="shared" si="6"/>
        <v>200</v>
      </c>
      <c r="AG9" s="21">
        <f t="shared" si="7"/>
        <v>3066</v>
      </c>
    </row>
    <row r="10" spans="1:33" ht="21" customHeight="1">
      <c r="A10" s="14" t="s">
        <v>27</v>
      </c>
      <c r="B10" s="14" t="s">
        <v>28</v>
      </c>
      <c r="C10" s="14">
        <v>20</v>
      </c>
      <c r="D10" s="14">
        <f t="shared" si="0"/>
        <v>80</v>
      </c>
      <c r="E10" s="14" t="s">
        <v>29</v>
      </c>
      <c r="F10" s="18">
        <v>182</v>
      </c>
      <c r="G10" s="18">
        <v>141</v>
      </c>
      <c r="H10" s="18">
        <v>160</v>
      </c>
      <c r="I10" s="18">
        <v>180</v>
      </c>
      <c r="J10" s="19">
        <f t="shared" si="1"/>
        <v>743</v>
      </c>
      <c r="K10" s="18">
        <v>149</v>
      </c>
      <c r="L10" s="18">
        <v>145</v>
      </c>
      <c r="M10" s="18">
        <v>188</v>
      </c>
      <c r="N10" s="18">
        <v>131</v>
      </c>
      <c r="O10" s="19">
        <f t="shared" si="8"/>
        <v>693</v>
      </c>
      <c r="P10" s="18">
        <v>148</v>
      </c>
      <c r="Q10" s="18">
        <v>155</v>
      </c>
      <c r="R10" s="18">
        <v>190</v>
      </c>
      <c r="S10" s="18">
        <v>160</v>
      </c>
      <c r="T10" s="19">
        <f t="shared" si="2"/>
        <v>733</v>
      </c>
      <c r="U10" s="18">
        <v>148</v>
      </c>
      <c r="V10" s="18">
        <v>114</v>
      </c>
      <c r="W10" s="18">
        <v>157</v>
      </c>
      <c r="X10" s="18">
        <v>158</v>
      </c>
      <c r="Y10" s="19">
        <f t="shared" si="3"/>
        <v>657</v>
      </c>
      <c r="Z10" s="18"/>
      <c r="AA10" s="18"/>
      <c r="AB10" s="18"/>
      <c r="AC10" s="18"/>
      <c r="AD10" s="19">
        <f t="shared" si="4"/>
        <v>80</v>
      </c>
      <c r="AE10" s="21">
        <f t="shared" si="5"/>
        <v>2506</v>
      </c>
      <c r="AF10" s="21">
        <f t="shared" si="6"/>
        <v>400</v>
      </c>
      <c r="AG10" s="21">
        <f t="shared" si="7"/>
        <v>2906</v>
      </c>
    </row>
    <row r="11" spans="1:33" ht="21" customHeight="1">
      <c r="A11" s="14" t="s">
        <v>30</v>
      </c>
      <c r="B11" s="14" t="s">
        <v>31</v>
      </c>
      <c r="C11" s="14">
        <v>30</v>
      </c>
      <c r="D11" s="14">
        <f t="shared" si="0"/>
        <v>120</v>
      </c>
      <c r="E11" s="14" t="s">
        <v>29</v>
      </c>
      <c r="F11" s="18">
        <v>139</v>
      </c>
      <c r="G11" s="18">
        <v>143</v>
      </c>
      <c r="H11" s="18">
        <v>135</v>
      </c>
      <c r="I11" s="18">
        <v>142</v>
      </c>
      <c r="J11" s="19">
        <f t="shared" si="1"/>
        <v>679</v>
      </c>
      <c r="K11" s="18">
        <v>146</v>
      </c>
      <c r="L11" s="18">
        <v>189</v>
      </c>
      <c r="M11" s="18">
        <v>163</v>
      </c>
      <c r="N11" s="18">
        <v>166</v>
      </c>
      <c r="O11" s="19">
        <f t="shared" si="8"/>
        <v>784</v>
      </c>
      <c r="P11" s="18">
        <v>161</v>
      </c>
      <c r="Q11" s="18">
        <v>132</v>
      </c>
      <c r="R11" s="18">
        <v>152</v>
      </c>
      <c r="S11" s="18">
        <v>138</v>
      </c>
      <c r="T11" s="19">
        <f t="shared" si="2"/>
        <v>703</v>
      </c>
      <c r="U11" s="18">
        <v>101</v>
      </c>
      <c r="V11" s="18">
        <v>135</v>
      </c>
      <c r="W11" s="18">
        <v>140</v>
      </c>
      <c r="X11" s="18">
        <v>157</v>
      </c>
      <c r="Y11" s="19">
        <f t="shared" si="3"/>
        <v>653</v>
      </c>
      <c r="Z11" s="18"/>
      <c r="AA11" s="18"/>
      <c r="AB11" s="18"/>
      <c r="AC11" s="18"/>
      <c r="AD11" s="19">
        <f t="shared" si="4"/>
        <v>120</v>
      </c>
      <c r="AE11" s="21">
        <f t="shared" si="5"/>
        <v>2339</v>
      </c>
      <c r="AF11" s="21">
        <f t="shared" si="6"/>
        <v>600</v>
      </c>
      <c r="AG11" s="21">
        <f t="shared" si="7"/>
        <v>2939</v>
      </c>
    </row>
    <row r="12" spans="1:33" ht="21" customHeight="1">
      <c r="A12" s="14" t="s">
        <v>32</v>
      </c>
      <c r="B12" s="14" t="s">
        <v>22</v>
      </c>
      <c r="C12" s="14">
        <v>10</v>
      </c>
      <c r="D12" s="14">
        <f t="shared" si="0"/>
        <v>40</v>
      </c>
      <c r="E12" s="14" t="s">
        <v>29</v>
      </c>
      <c r="F12" s="18">
        <v>152</v>
      </c>
      <c r="G12" s="18">
        <v>157</v>
      </c>
      <c r="H12" s="18">
        <v>145</v>
      </c>
      <c r="I12" s="18">
        <v>164</v>
      </c>
      <c r="J12" s="19">
        <f t="shared" si="1"/>
        <v>658</v>
      </c>
      <c r="K12" s="18">
        <v>201</v>
      </c>
      <c r="L12" s="18">
        <v>148</v>
      </c>
      <c r="M12" s="18">
        <v>203</v>
      </c>
      <c r="N12" s="18">
        <v>190</v>
      </c>
      <c r="O12" s="19">
        <f t="shared" si="8"/>
        <v>782</v>
      </c>
      <c r="P12" s="18">
        <v>171</v>
      </c>
      <c r="Q12" s="18">
        <v>158</v>
      </c>
      <c r="R12" s="18">
        <v>158</v>
      </c>
      <c r="S12" s="18">
        <v>192</v>
      </c>
      <c r="T12" s="19">
        <f t="shared" si="2"/>
        <v>719</v>
      </c>
      <c r="U12" s="18">
        <v>181</v>
      </c>
      <c r="V12" s="18">
        <v>162</v>
      </c>
      <c r="W12" s="18">
        <v>165</v>
      </c>
      <c r="X12" s="18">
        <v>188</v>
      </c>
      <c r="Y12" s="19">
        <f t="shared" si="3"/>
        <v>736</v>
      </c>
      <c r="Z12" s="18"/>
      <c r="AA12" s="18"/>
      <c r="AB12" s="18"/>
      <c r="AC12" s="18"/>
      <c r="AD12" s="19">
        <f t="shared" si="4"/>
        <v>40</v>
      </c>
      <c r="AE12" s="21">
        <f t="shared" si="5"/>
        <v>2735</v>
      </c>
      <c r="AF12" s="21">
        <f t="shared" si="6"/>
        <v>200</v>
      </c>
      <c r="AG12" s="21">
        <f t="shared" si="7"/>
        <v>2935</v>
      </c>
    </row>
    <row r="13" spans="1:33" ht="21" customHeight="1">
      <c r="A13" s="14" t="s">
        <v>33</v>
      </c>
      <c r="B13" s="14" t="s">
        <v>16</v>
      </c>
      <c r="C13" s="14">
        <v>0</v>
      </c>
      <c r="D13" s="14">
        <f t="shared" si="0"/>
        <v>0</v>
      </c>
      <c r="E13" s="14" t="s">
        <v>29</v>
      </c>
      <c r="F13" s="18">
        <v>214</v>
      </c>
      <c r="G13" s="18">
        <v>180</v>
      </c>
      <c r="H13" s="18">
        <v>223</v>
      </c>
      <c r="I13" s="18">
        <v>234</v>
      </c>
      <c r="J13" s="19">
        <f t="shared" si="1"/>
        <v>851</v>
      </c>
      <c r="K13" s="18">
        <v>197</v>
      </c>
      <c r="L13" s="18">
        <v>247</v>
      </c>
      <c r="M13" s="18">
        <v>248</v>
      </c>
      <c r="N13" s="18">
        <v>225</v>
      </c>
      <c r="O13" s="19">
        <f t="shared" si="8"/>
        <v>917</v>
      </c>
      <c r="P13" s="18">
        <v>217</v>
      </c>
      <c r="Q13" s="18">
        <v>214</v>
      </c>
      <c r="R13" s="18">
        <v>171</v>
      </c>
      <c r="S13" s="18">
        <v>147</v>
      </c>
      <c r="T13" s="19">
        <f t="shared" si="2"/>
        <v>749</v>
      </c>
      <c r="U13" s="18">
        <v>185</v>
      </c>
      <c r="V13" s="18">
        <v>189</v>
      </c>
      <c r="W13" s="18">
        <v>171</v>
      </c>
      <c r="X13" s="18">
        <v>230</v>
      </c>
      <c r="Y13" s="19">
        <f t="shared" si="3"/>
        <v>775</v>
      </c>
      <c r="Z13" s="18"/>
      <c r="AA13" s="18"/>
      <c r="AB13" s="18"/>
      <c r="AC13" s="18"/>
      <c r="AD13" s="19">
        <f t="shared" si="4"/>
        <v>0</v>
      </c>
      <c r="AE13" s="21">
        <f t="shared" si="5"/>
        <v>3292</v>
      </c>
      <c r="AF13" s="21">
        <f t="shared" si="6"/>
        <v>0</v>
      </c>
      <c r="AG13" s="21">
        <f t="shared" si="7"/>
        <v>3292</v>
      </c>
    </row>
    <row r="14" spans="1:33" ht="21" customHeight="1">
      <c r="A14" s="14" t="s">
        <v>34</v>
      </c>
      <c r="B14" s="14" t="s">
        <v>16</v>
      </c>
      <c r="C14" s="14">
        <v>0</v>
      </c>
      <c r="D14" s="14">
        <f t="shared" si="0"/>
        <v>0</v>
      </c>
      <c r="E14" s="14" t="s">
        <v>35</v>
      </c>
      <c r="F14" s="18">
        <v>212</v>
      </c>
      <c r="G14" s="18">
        <v>242</v>
      </c>
      <c r="H14" s="18">
        <v>233</v>
      </c>
      <c r="I14" s="18">
        <v>203</v>
      </c>
      <c r="J14" s="19">
        <f t="shared" si="1"/>
        <v>890</v>
      </c>
      <c r="K14" s="18">
        <v>184</v>
      </c>
      <c r="L14" s="18">
        <v>208</v>
      </c>
      <c r="M14" s="18">
        <v>214</v>
      </c>
      <c r="N14" s="18">
        <v>251</v>
      </c>
      <c r="O14" s="19">
        <f t="shared" si="8"/>
        <v>857</v>
      </c>
      <c r="P14" s="18">
        <v>213</v>
      </c>
      <c r="Q14" s="18">
        <v>246</v>
      </c>
      <c r="R14" s="18">
        <v>180</v>
      </c>
      <c r="S14" s="18">
        <v>179</v>
      </c>
      <c r="T14" s="19">
        <f t="shared" si="2"/>
        <v>818</v>
      </c>
      <c r="U14" s="18"/>
      <c r="V14" s="20"/>
      <c r="W14" s="18"/>
      <c r="X14" s="18"/>
      <c r="Y14" s="19">
        <f t="shared" si="3"/>
        <v>0</v>
      </c>
      <c r="Z14" s="18"/>
      <c r="AA14" s="18"/>
      <c r="AB14" s="18"/>
      <c r="AC14" s="18"/>
      <c r="AD14" s="19">
        <f t="shared" si="4"/>
        <v>0</v>
      </c>
      <c r="AE14" s="21">
        <f t="shared" si="5"/>
        <v>2565</v>
      </c>
      <c r="AF14" s="21">
        <f t="shared" si="6"/>
        <v>0</v>
      </c>
      <c r="AG14" s="21">
        <f t="shared" si="7"/>
        <v>2565</v>
      </c>
    </row>
    <row r="15" spans="1:33" ht="21" customHeight="1">
      <c r="A15" s="14" t="s">
        <v>36</v>
      </c>
      <c r="B15" s="14" t="s">
        <v>16</v>
      </c>
      <c r="C15" s="14">
        <v>0</v>
      </c>
      <c r="D15" s="14">
        <f t="shared" si="0"/>
        <v>0</v>
      </c>
      <c r="E15" s="14" t="s">
        <v>35</v>
      </c>
      <c r="F15" s="18">
        <v>162</v>
      </c>
      <c r="G15" s="18">
        <v>216</v>
      </c>
      <c r="H15" s="18">
        <v>247</v>
      </c>
      <c r="I15" s="18">
        <v>198</v>
      </c>
      <c r="J15" s="19">
        <f t="shared" si="1"/>
        <v>823</v>
      </c>
      <c r="K15" s="18">
        <v>235</v>
      </c>
      <c r="L15" s="18">
        <v>268</v>
      </c>
      <c r="M15" s="18">
        <v>267</v>
      </c>
      <c r="N15" s="18">
        <v>247</v>
      </c>
      <c r="O15" s="19">
        <f t="shared" si="8"/>
        <v>1017</v>
      </c>
      <c r="P15" s="18">
        <v>203</v>
      </c>
      <c r="Q15" s="18">
        <v>189</v>
      </c>
      <c r="R15" s="18">
        <v>135</v>
      </c>
      <c r="S15" s="18">
        <v>118</v>
      </c>
      <c r="T15" s="19">
        <f t="shared" si="2"/>
        <v>645</v>
      </c>
      <c r="U15" s="18"/>
      <c r="V15" s="20"/>
      <c r="W15" s="18"/>
      <c r="X15" s="18"/>
      <c r="Y15" s="19">
        <f t="shared" si="3"/>
        <v>0</v>
      </c>
      <c r="Z15" s="18"/>
      <c r="AA15" s="18"/>
      <c r="AB15" s="18"/>
      <c r="AC15" s="18"/>
      <c r="AD15" s="19">
        <f t="shared" si="4"/>
        <v>0</v>
      </c>
      <c r="AE15" s="21">
        <f t="shared" si="5"/>
        <v>2485</v>
      </c>
      <c r="AF15" s="21">
        <f t="shared" si="6"/>
        <v>0</v>
      </c>
      <c r="AG15" s="21">
        <f t="shared" si="7"/>
        <v>2485</v>
      </c>
    </row>
    <row r="16" spans="1:33" ht="21" customHeight="1">
      <c r="A16" s="14" t="s">
        <v>37</v>
      </c>
      <c r="B16" s="14" t="s">
        <v>20</v>
      </c>
      <c r="C16" s="14">
        <v>5</v>
      </c>
      <c r="D16" s="14">
        <f t="shared" si="0"/>
        <v>20</v>
      </c>
      <c r="E16" s="14" t="s">
        <v>35</v>
      </c>
      <c r="F16" s="18">
        <v>244</v>
      </c>
      <c r="G16" s="18">
        <v>172</v>
      </c>
      <c r="H16" s="18">
        <v>170</v>
      </c>
      <c r="I16" s="18">
        <v>213</v>
      </c>
      <c r="J16" s="19">
        <f t="shared" si="1"/>
        <v>819</v>
      </c>
      <c r="K16" s="18">
        <v>196</v>
      </c>
      <c r="L16" s="18">
        <v>193</v>
      </c>
      <c r="M16" s="18">
        <v>169</v>
      </c>
      <c r="N16" s="18">
        <v>215</v>
      </c>
      <c r="O16" s="19">
        <f t="shared" si="8"/>
        <v>793</v>
      </c>
      <c r="P16" s="18">
        <v>178</v>
      </c>
      <c r="Q16" s="18">
        <v>205</v>
      </c>
      <c r="R16" s="18">
        <v>185</v>
      </c>
      <c r="S16" s="18">
        <v>268</v>
      </c>
      <c r="T16" s="19">
        <f t="shared" si="2"/>
        <v>856</v>
      </c>
      <c r="U16" s="18"/>
      <c r="V16" s="20"/>
      <c r="W16" s="18"/>
      <c r="X16" s="18"/>
      <c r="Y16" s="19">
        <f t="shared" si="3"/>
        <v>20</v>
      </c>
      <c r="Z16" s="18"/>
      <c r="AA16" s="18"/>
      <c r="AB16" s="18"/>
      <c r="AC16" s="18"/>
      <c r="AD16" s="19">
        <f t="shared" si="4"/>
        <v>20</v>
      </c>
      <c r="AE16" s="21">
        <f t="shared" si="5"/>
        <v>2408</v>
      </c>
      <c r="AF16" s="21">
        <f t="shared" si="6"/>
        <v>100</v>
      </c>
      <c r="AG16" s="21">
        <f t="shared" si="7"/>
        <v>2508</v>
      </c>
    </row>
    <row r="17" spans="1:33" ht="21" customHeight="1">
      <c r="A17" s="14" t="s">
        <v>38</v>
      </c>
      <c r="B17" s="14" t="s">
        <v>39</v>
      </c>
      <c r="C17" s="14">
        <v>15</v>
      </c>
      <c r="D17" s="14">
        <f t="shared" si="0"/>
        <v>60</v>
      </c>
      <c r="E17" s="14" t="s">
        <v>35</v>
      </c>
      <c r="F17" s="18">
        <v>113</v>
      </c>
      <c r="G17" s="18">
        <v>147</v>
      </c>
      <c r="H17" s="18">
        <v>131</v>
      </c>
      <c r="I17" s="18">
        <v>187</v>
      </c>
      <c r="J17" s="19">
        <f t="shared" si="1"/>
        <v>638</v>
      </c>
      <c r="K17" s="18">
        <v>137</v>
      </c>
      <c r="L17" s="18">
        <v>155</v>
      </c>
      <c r="M17" s="18">
        <v>148</v>
      </c>
      <c r="N17" s="18">
        <v>146</v>
      </c>
      <c r="O17" s="19">
        <f t="shared" si="8"/>
        <v>646</v>
      </c>
      <c r="P17" s="18">
        <v>131</v>
      </c>
      <c r="Q17" s="18">
        <v>124</v>
      </c>
      <c r="R17" s="18">
        <v>128</v>
      </c>
      <c r="S17" s="18">
        <v>169</v>
      </c>
      <c r="T17" s="19">
        <f t="shared" si="2"/>
        <v>612</v>
      </c>
      <c r="U17" s="18"/>
      <c r="V17" s="18"/>
      <c r="W17" s="18"/>
      <c r="X17" s="18"/>
      <c r="Y17" s="19">
        <f t="shared" si="3"/>
        <v>60</v>
      </c>
      <c r="Z17" s="18"/>
      <c r="AA17" s="18"/>
      <c r="AB17" s="18"/>
      <c r="AC17" s="18"/>
      <c r="AD17" s="19">
        <f t="shared" si="4"/>
        <v>60</v>
      </c>
      <c r="AE17" s="21">
        <f t="shared" si="5"/>
        <v>1716</v>
      </c>
      <c r="AF17" s="21">
        <f t="shared" si="6"/>
        <v>300</v>
      </c>
      <c r="AG17" s="21">
        <f t="shared" si="7"/>
        <v>2016</v>
      </c>
    </row>
    <row r="18" spans="1:33" ht="21" customHeight="1">
      <c r="A18" s="14" t="s">
        <v>40</v>
      </c>
      <c r="B18" s="14" t="s">
        <v>22</v>
      </c>
      <c r="C18" s="14">
        <v>10</v>
      </c>
      <c r="D18" s="14">
        <f t="shared" si="0"/>
        <v>40</v>
      </c>
      <c r="E18" s="14" t="s">
        <v>23</v>
      </c>
      <c r="F18" s="18">
        <v>200</v>
      </c>
      <c r="G18" s="18">
        <v>166</v>
      </c>
      <c r="H18" s="18">
        <v>179</v>
      </c>
      <c r="I18" s="18">
        <v>135</v>
      </c>
      <c r="J18" s="19">
        <f t="shared" si="1"/>
        <v>720</v>
      </c>
      <c r="K18" s="18">
        <v>156</v>
      </c>
      <c r="L18" s="18">
        <v>165</v>
      </c>
      <c r="M18" s="18">
        <v>146</v>
      </c>
      <c r="N18" s="18">
        <v>143</v>
      </c>
      <c r="O18" s="19">
        <f t="shared" si="8"/>
        <v>650</v>
      </c>
      <c r="P18" s="18">
        <v>204</v>
      </c>
      <c r="Q18" s="18">
        <v>157</v>
      </c>
      <c r="R18" s="18">
        <v>172</v>
      </c>
      <c r="S18" s="18">
        <v>212</v>
      </c>
      <c r="T18" s="19">
        <f t="shared" si="2"/>
        <v>785</v>
      </c>
      <c r="U18" s="18"/>
      <c r="V18" s="18"/>
      <c r="W18" s="18"/>
      <c r="X18" s="18"/>
      <c r="Y18" s="19">
        <f t="shared" si="3"/>
        <v>40</v>
      </c>
      <c r="Z18" s="18"/>
      <c r="AA18" s="18"/>
      <c r="AB18" s="18"/>
      <c r="AC18" s="18"/>
      <c r="AD18" s="19">
        <f t="shared" si="4"/>
        <v>40</v>
      </c>
      <c r="AE18" s="21">
        <f t="shared" si="5"/>
        <v>2035</v>
      </c>
      <c r="AF18" s="21">
        <f t="shared" si="6"/>
        <v>200</v>
      </c>
      <c r="AG18" s="21">
        <f t="shared" si="7"/>
        <v>2235</v>
      </c>
    </row>
    <row r="19" spans="1:33" ht="21" customHeight="1">
      <c r="A19" s="14" t="s">
        <v>41</v>
      </c>
      <c r="B19" s="14" t="s">
        <v>22</v>
      </c>
      <c r="C19" s="14">
        <v>10</v>
      </c>
      <c r="D19" s="14">
        <f t="shared" si="0"/>
        <v>40</v>
      </c>
      <c r="E19" s="14" t="s">
        <v>23</v>
      </c>
      <c r="F19" s="18">
        <v>161</v>
      </c>
      <c r="G19" s="18">
        <v>159</v>
      </c>
      <c r="H19" s="18">
        <v>202</v>
      </c>
      <c r="I19" s="18">
        <v>222</v>
      </c>
      <c r="J19" s="19">
        <f t="shared" si="1"/>
        <v>784</v>
      </c>
      <c r="K19" s="18">
        <v>204</v>
      </c>
      <c r="L19" s="18">
        <v>189</v>
      </c>
      <c r="M19" s="18">
        <v>211</v>
      </c>
      <c r="N19" s="18">
        <v>244</v>
      </c>
      <c r="O19" s="19">
        <f t="shared" si="8"/>
        <v>888</v>
      </c>
      <c r="P19" s="18">
        <v>144</v>
      </c>
      <c r="Q19" s="18">
        <v>181</v>
      </c>
      <c r="R19" s="18">
        <v>179</v>
      </c>
      <c r="S19" s="18">
        <v>183</v>
      </c>
      <c r="T19" s="19">
        <f t="shared" si="2"/>
        <v>727</v>
      </c>
      <c r="U19" s="18"/>
      <c r="V19" s="18"/>
      <c r="W19" s="18"/>
      <c r="X19" s="18"/>
      <c r="Y19" s="19">
        <f t="shared" si="3"/>
        <v>40</v>
      </c>
      <c r="Z19" s="18"/>
      <c r="AA19" s="18"/>
      <c r="AB19" s="18"/>
      <c r="AC19" s="18"/>
      <c r="AD19" s="19">
        <f t="shared" si="4"/>
        <v>40</v>
      </c>
      <c r="AE19" s="21">
        <f t="shared" si="5"/>
        <v>2279</v>
      </c>
      <c r="AF19" s="21">
        <f t="shared" si="6"/>
        <v>200</v>
      </c>
      <c r="AG19" s="21">
        <f t="shared" si="7"/>
        <v>2479</v>
      </c>
    </row>
    <row r="20" spans="1:33" ht="21" customHeight="1">
      <c r="A20" s="14" t="s">
        <v>42</v>
      </c>
      <c r="B20" s="14" t="s">
        <v>43</v>
      </c>
      <c r="C20" s="14">
        <v>25</v>
      </c>
      <c r="D20" s="14">
        <f t="shared" si="0"/>
        <v>100</v>
      </c>
      <c r="E20" s="14" t="s">
        <v>23</v>
      </c>
      <c r="F20" s="18">
        <v>159</v>
      </c>
      <c r="G20" s="18">
        <v>157</v>
      </c>
      <c r="H20" s="18">
        <v>245</v>
      </c>
      <c r="I20" s="18">
        <v>189</v>
      </c>
      <c r="J20" s="19">
        <f t="shared" si="1"/>
        <v>850</v>
      </c>
      <c r="K20" s="18">
        <v>181</v>
      </c>
      <c r="L20" s="18">
        <v>183</v>
      </c>
      <c r="M20" s="18">
        <v>199</v>
      </c>
      <c r="N20" s="18">
        <v>195</v>
      </c>
      <c r="O20" s="19">
        <f t="shared" si="8"/>
        <v>858</v>
      </c>
      <c r="P20" s="18">
        <v>151</v>
      </c>
      <c r="Q20" s="18">
        <v>208</v>
      </c>
      <c r="R20" s="18">
        <v>194</v>
      </c>
      <c r="S20" s="18">
        <v>213</v>
      </c>
      <c r="T20" s="19">
        <f t="shared" si="2"/>
        <v>866</v>
      </c>
      <c r="U20" s="18"/>
      <c r="V20" s="20"/>
      <c r="W20" s="18"/>
      <c r="X20" s="18"/>
      <c r="Y20" s="19">
        <f t="shared" si="3"/>
        <v>100</v>
      </c>
      <c r="Z20" s="18"/>
      <c r="AA20" s="18"/>
      <c r="AB20" s="18"/>
      <c r="AC20" s="18"/>
      <c r="AD20" s="19">
        <f t="shared" si="4"/>
        <v>100</v>
      </c>
      <c r="AE20" s="21">
        <f t="shared" si="5"/>
        <v>2274</v>
      </c>
      <c r="AF20" s="21">
        <f t="shared" si="6"/>
        <v>500</v>
      </c>
      <c r="AG20" s="21">
        <f t="shared" si="7"/>
        <v>2774</v>
      </c>
    </row>
    <row r="21" spans="1:33" ht="21" customHeight="1">
      <c r="A21" s="14" t="s">
        <v>44</v>
      </c>
      <c r="B21" s="14" t="s">
        <v>45</v>
      </c>
      <c r="C21" s="14">
        <v>25</v>
      </c>
      <c r="D21" s="14">
        <f t="shared" si="0"/>
        <v>100</v>
      </c>
      <c r="E21" s="14" t="s">
        <v>35</v>
      </c>
      <c r="F21" s="18">
        <v>139</v>
      </c>
      <c r="G21" s="18">
        <v>150</v>
      </c>
      <c r="H21" s="18">
        <v>149</v>
      </c>
      <c r="I21" s="18">
        <v>148</v>
      </c>
      <c r="J21" s="19">
        <f t="shared" si="1"/>
        <v>686</v>
      </c>
      <c r="K21" s="18">
        <v>131</v>
      </c>
      <c r="L21" s="18">
        <v>160</v>
      </c>
      <c r="M21" s="18">
        <v>156</v>
      </c>
      <c r="N21" s="18">
        <v>166</v>
      </c>
      <c r="O21" s="19">
        <f t="shared" si="8"/>
        <v>713</v>
      </c>
      <c r="P21" s="18">
        <v>168</v>
      </c>
      <c r="Q21" s="18">
        <v>172</v>
      </c>
      <c r="R21" s="18">
        <v>151</v>
      </c>
      <c r="S21" s="18">
        <v>128</v>
      </c>
      <c r="T21" s="19">
        <f t="shared" si="2"/>
        <v>719</v>
      </c>
      <c r="U21" s="18"/>
      <c r="V21" s="18"/>
      <c r="W21" s="18"/>
      <c r="X21" s="18"/>
      <c r="Y21" s="19">
        <f t="shared" si="3"/>
        <v>100</v>
      </c>
      <c r="Z21" s="18"/>
      <c r="AA21" s="18"/>
      <c r="AB21" s="18"/>
      <c r="AC21" s="18"/>
      <c r="AD21" s="19">
        <f t="shared" si="4"/>
        <v>100</v>
      </c>
      <c r="AE21" s="21">
        <f t="shared" si="5"/>
        <v>1818</v>
      </c>
      <c r="AF21" s="21">
        <f t="shared" si="6"/>
        <v>500</v>
      </c>
      <c r="AG21" s="21">
        <f t="shared" si="7"/>
        <v>2318</v>
      </c>
    </row>
    <row r="22" spans="1:33" ht="21" customHeight="1">
      <c r="A22" s="14" t="s">
        <v>46</v>
      </c>
      <c r="B22" s="14" t="s">
        <v>22</v>
      </c>
      <c r="C22" s="14">
        <v>10</v>
      </c>
      <c r="D22" s="14">
        <f t="shared" si="0"/>
        <v>40</v>
      </c>
      <c r="E22" s="14" t="s">
        <v>17</v>
      </c>
      <c r="F22" s="18">
        <v>165</v>
      </c>
      <c r="G22" s="18">
        <v>140</v>
      </c>
      <c r="H22" s="18">
        <v>162</v>
      </c>
      <c r="I22" s="18">
        <v>131</v>
      </c>
      <c r="J22" s="19">
        <f t="shared" si="1"/>
        <v>638</v>
      </c>
      <c r="K22" s="18">
        <v>175</v>
      </c>
      <c r="L22" s="18">
        <v>147</v>
      </c>
      <c r="M22" s="18">
        <v>170</v>
      </c>
      <c r="N22" s="18">
        <v>181</v>
      </c>
      <c r="O22" s="19">
        <f t="shared" si="8"/>
        <v>713</v>
      </c>
      <c r="P22" s="18">
        <v>155</v>
      </c>
      <c r="Q22" s="18">
        <v>142</v>
      </c>
      <c r="R22" s="18">
        <v>164</v>
      </c>
      <c r="S22" s="18">
        <v>178</v>
      </c>
      <c r="T22" s="19">
        <f t="shared" si="2"/>
        <v>679</v>
      </c>
      <c r="U22" s="18"/>
      <c r="V22" s="18"/>
      <c r="W22" s="18"/>
      <c r="X22" s="18"/>
      <c r="Y22" s="19">
        <f t="shared" si="3"/>
        <v>40</v>
      </c>
      <c r="Z22" s="18"/>
      <c r="AA22" s="18"/>
      <c r="AB22" s="18"/>
      <c r="AC22" s="18"/>
      <c r="AD22" s="19">
        <f t="shared" si="4"/>
        <v>40</v>
      </c>
      <c r="AE22" s="21">
        <f t="shared" si="5"/>
        <v>1910</v>
      </c>
      <c r="AF22" s="21">
        <f t="shared" si="6"/>
        <v>200</v>
      </c>
      <c r="AG22" s="21">
        <f t="shared" si="7"/>
        <v>2110</v>
      </c>
    </row>
    <row r="23" spans="1:33" ht="21" customHeight="1">
      <c r="A23" s="14" t="s">
        <v>47</v>
      </c>
      <c r="B23" s="14" t="s">
        <v>22</v>
      </c>
      <c r="C23" s="14">
        <v>10</v>
      </c>
      <c r="D23" s="14">
        <f t="shared" si="0"/>
        <v>40</v>
      </c>
      <c r="E23" s="14" t="s">
        <v>17</v>
      </c>
      <c r="F23" s="18">
        <v>197</v>
      </c>
      <c r="G23" s="18">
        <v>213</v>
      </c>
      <c r="H23" s="18">
        <v>164</v>
      </c>
      <c r="I23" s="18">
        <v>222</v>
      </c>
      <c r="J23" s="19">
        <f t="shared" si="1"/>
        <v>836</v>
      </c>
      <c r="K23" s="18">
        <v>181</v>
      </c>
      <c r="L23" s="18">
        <v>204</v>
      </c>
      <c r="M23" s="18">
        <v>183</v>
      </c>
      <c r="N23" s="18">
        <v>204</v>
      </c>
      <c r="O23" s="19">
        <f t="shared" si="8"/>
        <v>812</v>
      </c>
      <c r="P23" s="18">
        <v>167</v>
      </c>
      <c r="Q23" s="18">
        <v>194</v>
      </c>
      <c r="R23" s="18">
        <v>221</v>
      </c>
      <c r="S23" s="18">
        <v>171</v>
      </c>
      <c r="T23" s="19">
        <f t="shared" si="2"/>
        <v>793</v>
      </c>
      <c r="U23" s="18"/>
      <c r="V23" s="20"/>
      <c r="W23" s="18"/>
      <c r="X23" s="18"/>
      <c r="Y23" s="19">
        <f t="shared" si="3"/>
        <v>40</v>
      </c>
      <c r="Z23" s="18"/>
      <c r="AA23" s="18"/>
      <c r="AB23" s="18"/>
      <c r="AC23" s="18"/>
      <c r="AD23" s="19">
        <f t="shared" si="4"/>
        <v>40</v>
      </c>
      <c r="AE23" s="21">
        <f t="shared" si="5"/>
        <v>2321</v>
      </c>
      <c r="AF23" s="21">
        <f t="shared" si="6"/>
        <v>200</v>
      </c>
      <c r="AG23" s="22">
        <v>2521</v>
      </c>
    </row>
    <row r="24" spans="1:33" ht="21" customHeight="1">
      <c r="A24" s="14" t="s">
        <v>48</v>
      </c>
      <c r="B24" s="14" t="s">
        <v>20</v>
      </c>
      <c r="C24" s="14">
        <v>5</v>
      </c>
      <c r="D24" s="14">
        <f t="shared" si="0"/>
        <v>20</v>
      </c>
      <c r="E24" s="14" t="s">
        <v>17</v>
      </c>
      <c r="F24" s="18">
        <v>190</v>
      </c>
      <c r="G24" s="18">
        <v>203</v>
      </c>
      <c r="H24" s="18">
        <v>224</v>
      </c>
      <c r="I24" s="18">
        <v>236</v>
      </c>
      <c r="J24" s="19">
        <f t="shared" si="1"/>
        <v>873</v>
      </c>
      <c r="K24" s="18">
        <v>157</v>
      </c>
      <c r="L24" s="18">
        <v>183</v>
      </c>
      <c r="M24" s="18">
        <v>223</v>
      </c>
      <c r="N24" s="18">
        <v>192</v>
      </c>
      <c r="O24" s="19">
        <f t="shared" si="8"/>
        <v>775</v>
      </c>
      <c r="P24" s="18">
        <v>202</v>
      </c>
      <c r="Q24" s="18">
        <v>157</v>
      </c>
      <c r="R24" s="18">
        <v>169</v>
      </c>
      <c r="S24" s="18">
        <v>218</v>
      </c>
      <c r="T24" s="19">
        <f t="shared" si="2"/>
        <v>766</v>
      </c>
      <c r="U24" s="18"/>
      <c r="V24" s="18"/>
      <c r="W24" s="18"/>
      <c r="X24" s="18"/>
      <c r="Y24" s="19">
        <f t="shared" si="3"/>
        <v>20</v>
      </c>
      <c r="Z24" s="18"/>
      <c r="AA24" s="18"/>
      <c r="AB24" s="18"/>
      <c r="AC24" s="18"/>
      <c r="AD24" s="19">
        <f t="shared" si="4"/>
        <v>20</v>
      </c>
      <c r="AE24" s="21">
        <f t="shared" si="5"/>
        <v>2354</v>
      </c>
      <c r="AF24" s="21">
        <f t="shared" si="6"/>
        <v>100</v>
      </c>
      <c r="AG24" s="21">
        <f t="shared" ref="AG24:AG26" si="9">AE24+AF24</f>
        <v>2454</v>
      </c>
    </row>
    <row r="25" spans="1:33" ht="21" customHeight="1">
      <c r="A25" s="14" t="s">
        <v>49</v>
      </c>
      <c r="B25" s="14" t="s">
        <v>50</v>
      </c>
      <c r="C25" s="14">
        <v>30</v>
      </c>
      <c r="D25" s="14">
        <f t="shared" si="0"/>
        <v>120</v>
      </c>
      <c r="E25" s="14" t="s">
        <v>17</v>
      </c>
      <c r="F25" s="18">
        <v>144</v>
      </c>
      <c r="G25" s="18">
        <v>166</v>
      </c>
      <c r="H25" s="18">
        <v>167</v>
      </c>
      <c r="I25" s="18">
        <v>163</v>
      </c>
      <c r="J25" s="19">
        <f t="shared" si="1"/>
        <v>760</v>
      </c>
      <c r="K25" s="18">
        <v>162</v>
      </c>
      <c r="L25" s="18">
        <v>159</v>
      </c>
      <c r="M25" s="18">
        <v>143</v>
      </c>
      <c r="N25" s="18">
        <v>143</v>
      </c>
      <c r="O25" s="19">
        <f t="shared" si="8"/>
        <v>727</v>
      </c>
      <c r="P25" s="18">
        <v>144</v>
      </c>
      <c r="Q25" s="18">
        <v>149</v>
      </c>
      <c r="R25" s="18">
        <v>169</v>
      </c>
      <c r="S25" s="18">
        <v>177</v>
      </c>
      <c r="T25" s="19">
        <f t="shared" si="2"/>
        <v>759</v>
      </c>
      <c r="U25" s="18"/>
      <c r="V25" s="18"/>
      <c r="W25" s="18"/>
      <c r="X25" s="18"/>
      <c r="Y25" s="19">
        <f t="shared" si="3"/>
        <v>120</v>
      </c>
      <c r="Z25" s="18"/>
      <c r="AA25" s="18"/>
      <c r="AB25" s="18"/>
      <c r="AC25" s="18"/>
      <c r="AD25" s="19">
        <f t="shared" si="4"/>
        <v>120</v>
      </c>
      <c r="AE25" s="21">
        <f t="shared" si="5"/>
        <v>1886</v>
      </c>
      <c r="AF25" s="21">
        <f t="shared" si="6"/>
        <v>600</v>
      </c>
      <c r="AG25" s="21">
        <f t="shared" si="9"/>
        <v>2486</v>
      </c>
    </row>
    <row r="26" spans="1:33" ht="21" customHeight="1">
      <c r="A26" s="14" t="s">
        <v>51</v>
      </c>
      <c r="B26" s="14" t="s">
        <v>16</v>
      </c>
      <c r="C26" s="14">
        <v>0</v>
      </c>
      <c r="D26" s="14">
        <f t="shared" si="0"/>
        <v>0</v>
      </c>
      <c r="E26" s="14" t="s">
        <v>17</v>
      </c>
      <c r="F26" s="18">
        <v>205</v>
      </c>
      <c r="G26" s="18">
        <v>225</v>
      </c>
      <c r="H26" s="18">
        <v>257</v>
      </c>
      <c r="I26" s="18">
        <v>237</v>
      </c>
      <c r="J26" s="19">
        <f t="shared" si="1"/>
        <v>924</v>
      </c>
      <c r="K26" s="18">
        <v>180</v>
      </c>
      <c r="L26" s="18">
        <v>172</v>
      </c>
      <c r="M26" s="18">
        <v>232</v>
      </c>
      <c r="N26" s="18">
        <v>231</v>
      </c>
      <c r="O26" s="19">
        <f t="shared" si="8"/>
        <v>815</v>
      </c>
      <c r="P26" s="18"/>
      <c r="Q26" s="18"/>
      <c r="R26" s="18"/>
      <c r="S26" s="18"/>
      <c r="T26" s="19">
        <f t="shared" si="2"/>
        <v>0</v>
      </c>
      <c r="U26" s="18"/>
      <c r="V26" s="18"/>
      <c r="W26" s="18"/>
      <c r="X26" s="18"/>
      <c r="Y26" s="19">
        <f t="shared" si="3"/>
        <v>0</v>
      </c>
      <c r="Z26" s="18"/>
      <c r="AA26" s="18"/>
      <c r="AB26" s="18"/>
      <c r="AC26" s="18"/>
      <c r="AD26" s="19">
        <f t="shared" si="4"/>
        <v>0</v>
      </c>
      <c r="AE26" s="21">
        <f t="shared" si="5"/>
        <v>1739</v>
      </c>
      <c r="AF26" s="21">
        <f t="shared" si="6"/>
        <v>0</v>
      </c>
      <c r="AG26" s="21">
        <f t="shared" si="9"/>
        <v>1739</v>
      </c>
    </row>
    <row r="27" spans="1:33" ht="21" customHeight="1">
      <c r="A27" s="14" t="s">
        <v>52</v>
      </c>
      <c r="B27" s="14" t="s">
        <v>16</v>
      </c>
      <c r="C27" s="14">
        <v>0</v>
      </c>
      <c r="D27" s="14">
        <f t="shared" si="0"/>
        <v>0</v>
      </c>
      <c r="E27" s="14" t="s">
        <v>17</v>
      </c>
      <c r="F27" s="18">
        <v>184</v>
      </c>
      <c r="G27" s="18">
        <v>203</v>
      </c>
      <c r="H27" s="18">
        <v>191</v>
      </c>
      <c r="I27" s="18">
        <v>249</v>
      </c>
      <c r="J27" s="19">
        <f t="shared" si="1"/>
        <v>827</v>
      </c>
      <c r="K27" s="18">
        <v>224</v>
      </c>
      <c r="L27" s="18">
        <v>238</v>
      </c>
      <c r="M27" s="18">
        <v>202</v>
      </c>
      <c r="N27" s="18">
        <v>181</v>
      </c>
      <c r="O27" s="19">
        <f t="shared" si="8"/>
        <v>845</v>
      </c>
      <c r="P27" s="18">
        <v>158</v>
      </c>
      <c r="Q27" s="18">
        <v>204</v>
      </c>
      <c r="R27" s="18">
        <v>159</v>
      </c>
      <c r="S27" s="18">
        <v>194</v>
      </c>
      <c r="T27" s="19">
        <f t="shared" si="2"/>
        <v>715</v>
      </c>
      <c r="U27" s="18">
        <v>223</v>
      </c>
      <c r="V27" s="18">
        <v>201</v>
      </c>
      <c r="W27" s="18">
        <v>256</v>
      </c>
      <c r="X27" s="18">
        <v>202</v>
      </c>
      <c r="Y27" s="19">
        <f t="shared" si="3"/>
        <v>882</v>
      </c>
      <c r="Z27" s="18"/>
      <c r="AA27" s="18"/>
      <c r="AB27" s="18"/>
      <c r="AC27" s="18"/>
      <c r="AD27" s="19">
        <f t="shared" si="4"/>
        <v>0</v>
      </c>
      <c r="AE27" s="21">
        <f t="shared" si="5"/>
        <v>3269</v>
      </c>
      <c r="AF27" s="21">
        <f t="shared" si="6"/>
        <v>0</v>
      </c>
      <c r="AG27" s="22">
        <v>2387</v>
      </c>
    </row>
    <row r="28" spans="1:33" ht="21" customHeight="1">
      <c r="A28" s="14" t="s">
        <v>53</v>
      </c>
      <c r="B28" s="14" t="s">
        <v>31</v>
      </c>
      <c r="C28" s="14">
        <v>30</v>
      </c>
      <c r="D28" s="14">
        <f t="shared" si="0"/>
        <v>120</v>
      </c>
      <c r="E28" s="14" t="s">
        <v>17</v>
      </c>
      <c r="F28" s="18">
        <v>149</v>
      </c>
      <c r="G28" s="18">
        <v>182</v>
      </c>
      <c r="H28" s="18">
        <v>178</v>
      </c>
      <c r="I28" s="18">
        <v>148</v>
      </c>
      <c r="J28" s="19">
        <f t="shared" si="1"/>
        <v>777</v>
      </c>
      <c r="K28" s="18">
        <v>152</v>
      </c>
      <c r="L28" s="18">
        <v>162</v>
      </c>
      <c r="M28" s="18">
        <v>164</v>
      </c>
      <c r="N28" s="18">
        <v>117</v>
      </c>
      <c r="O28" s="19">
        <f t="shared" si="8"/>
        <v>715</v>
      </c>
      <c r="P28" s="18">
        <v>131</v>
      </c>
      <c r="Q28" s="18">
        <v>163</v>
      </c>
      <c r="R28" s="18">
        <v>135</v>
      </c>
      <c r="S28" s="18">
        <v>167</v>
      </c>
      <c r="T28" s="19">
        <f t="shared" si="2"/>
        <v>716</v>
      </c>
      <c r="U28" s="18">
        <v>168</v>
      </c>
      <c r="V28" s="18">
        <v>146</v>
      </c>
      <c r="W28" s="18">
        <v>169</v>
      </c>
      <c r="X28" s="18">
        <v>159</v>
      </c>
      <c r="Y28" s="19">
        <f t="shared" si="3"/>
        <v>762</v>
      </c>
      <c r="Z28" s="18"/>
      <c r="AA28" s="18"/>
      <c r="AB28" s="18"/>
      <c r="AC28" s="18"/>
      <c r="AD28" s="19">
        <f t="shared" si="4"/>
        <v>120</v>
      </c>
      <c r="AE28" s="21">
        <f t="shared" si="5"/>
        <v>2490</v>
      </c>
      <c r="AF28" s="21">
        <f t="shared" si="6"/>
        <v>600</v>
      </c>
      <c r="AG28" s="21">
        <f>AE28+AF28</f>
        <v>3090</v>
      </c>
    </row>
    <row r="29" spans="1:33" ht="21" customHeight="1">
      <c r="A29" s="14" t="s">
        <v>54</v>
      </c>
      <c r="B29" s="14" t="s">
        <v>22</v>
      </c>
      <c r="C29" s="14">
        <v>10</v>
      </c>
      <c r="D29" s="14">
        <f t="shared" si="0"/>
        <v>40</v>
      </c>
      <c r="E29" s="14" t="s">
        <v>17</v>
      </c>
      <c r="F29" s="18">
        <v>200</v>
      </c>
      <c r="G29" s="18">
        <v>203</v>
      </c>
      <c r="H29" s="18">
        <v>186</v>
      </c>
      <c r="I29" s="18">
        <v>179</v>
      </c>
      <c r="J29" s="19">
        <f t="shared" si="1"/>
        <v>808</v>
      </c>
      <c r="K29" s="18">
        <v>154</v>
      </c>
      <c r="L29" s="18">
        <v>244</v>
      </c>
      <c r="M29" s="18">
        <v>214</v>
      </c>
      <c r="N29" s="18">
        <v>219</v>
      </c>
      <c r="O29" s="19">
        <f t="shared" si="8"/>
        <v>871</v>
      </c>
      <c r="P29" s="18">
        <v>128</v>
      </c>
      <c r="Q29" s="18">
        <v>148</v>
      </c>
      <c r="R29" s="18">
        <v>212</v>
      </c>
      <c r="S29" s="18">
        <v>168</v>
      </c>
      <c r="T29" s="19">
        <f t="shared" si="2"/>
        <v>696</v>
      </c>
      <c r="U29" s="18">
        <v>152</v>
      </c>
      <c r="V29" s="18">
        <v>196</v>
      </c>
      <c r="W29" s="18">
        <v>188</v>
      </c>
      <c r="X29" s="18">
        <v>164</v>
      </c>
      <c r="Y29" s="19">
        <f t="shared" si="3"/>
        <v>740</v>
      </c>
      <c r="Z29" s="18"/>
      <c r="AA29" s="18"/>
      <c r="AB29" s="18"/>
      <c r="AC29" s="18"/>
      <c r="AD29" s="19">
        <f t="shared" si="4"/>
        <v>40</v>
      </c>
      <c r="AE29" s="21">
        <f t="shared" si="5"/>
        <v>2955</v>
      </c>
      <c r="AF29" s="21">
        <f t="shared" si="6"/>
        <v>200</v>
      </c>
      <c r="AG29" s="21">
        <v>3115</v>
      </c>
    </row>
    <row r="30" spans="1:33" ht="21" customHeight="1">
      <c r="A30" s="14" t="s">
        <v>55</v>
      </c>
      <c r="B30" s="14" t="s">
        <v>28</v>
      </c>
      <c r="C30" s="23">
        <v>20</v>
      </c>
      <c r="D30" s="14">
        <f t="shared" si="0"/>
        <v>80</v>
      </c>
      <c r="E30" s="14" t="s">
        <v>17</v>
      </c>
      <c r="F30" s="18">
        <v>181</v>
      </c>
      <c r="G30" s="18">
        <v>192</v>
      </c>
      <c r="H30" s="18">
        <v>160</v>
      </c>
      <c r="I30" s="18">
        <v>156</v>
      </c>
      <c r="J30" s="19">
        <f t="shared" si="1"/>
        <v>769</v>
      </c>
      <c r="K30" s="18">
        <v>188</v>
      </c>
      <c r="L30" s="18">
        <v>161</v>
      </c>
      <c r="M30" s="18">
        <v>214</v>
      </c>
      <c r="N30" s="18">
        <v>182</v>
      </c>
      <c r="O30" s="19">
        <f t="shared" si="8"/>
        <v>825</v>
      </c>
      <c r="P30" s="18">
        <v>167</v>
      </c>
      <c r="Q30" s="18">
        <v>159</v>
      </c>
      <c r="R30" s="18">
        <v>225</v>
      </c>
      <c r="S30" s="18">
        <v>178</v>
      </c>
      <c r="T30" s="19">
        <f t="shared" si="2"/>
        <v>809</v>
      </c>
      <c r="U30" s="18"/>
      <c r="V30" s="18"/>
      <c r="W30" s="18"/>
      <c r="X30" s="18"/>
      <c r="Y30" s="19">
        <f t="shared" si="3"/>
        <v>80</v>
      </c>
      <c r="Z30" s="18"/>
      <c r="AA30" s="18"/>
      <c r="AB30" s="18"/>
      <c r="AC30" s="18"/>
      <c r="AD30" s="19">
        <f t="shared" si="4"/>
        <v>80</v>
      </c>
      <c r="AE30" s="21">
        <f t="shared" si="5"/>
        <v>2163</v>
      </c>
      <c r="AF30" s="21">
        <f t="shared" si="6"/>
        <v>400</v>
      </c>
      <c r="AG30" s="21">
        <f>AE30+AF30</f>
        <v>2563</v>
      </c>
    </row>
    <row r="31" spans="1:33" ht="21" customHeight="1">
      <c r="A31" s="14" t="s">
        <v>56</v>
      </c>
      <c r="B31" s="14" t="s">
        <v>28</v>
      </c>
      <c r="C31" s="14">
        <v>20</v>
      </c>
      <c r="D31" s="14">
        <f t="shared" si="0"/>
        <v>80</v>
      </c>
      <c r="E31" s="14" t="s">
        <v>17</v>
      </c>
      <c r="F31" s="18">
        <v>166</v>
      </c>
      <c r="G31" s="18">
        <v>154</v>
      </c>
      <c r="H31" s="18">
        <v>156</v>
      </c>
      <c r="I31" s="18">
        <v>174</v>
      </c>
      <c r="J31" s="19">
        <f t="shared" si="1"/>
        <v>730</v>
      </c>
      <c r="K31" s="18">
        <v>173</v>
      </c>
      <c r="L31" s="18">
        <v>165</v>
      </c>
      <c r="M31" s="18">
        <v>161</v>
      </c>
      <c r="N31" s="18">
        <v>183</v>
      </c>
      <c r="O31" s="19">
        <f t="shared" si="8"/>
        <v>762</v>
      </c>
      <c r="P31" s="18">
        <v>123</v>
      </c>
      <c r="Q31" s="18">
        <v>210</v>
      </c>
      <c r="R31" s="18">
        <v>133</v>
      </c>
      <c r="S31" s="18">
        <v>147</v>
      </c>
      <c r="T31" s="19">
        <f t="shared" si="2"/>
        <v>693</v>
      </c>
      <c r="U31" s="18"/>
      <c r="V31" s="18"/>
      <c r="W31" s="18"/>
      <c r="X31" s="18"/>
      <c r="Y31" s="19">
        <f t="shared" si="3"/>
        <v>80</v>
      </c>
      <c r="Z31" s="18"/>
      <c r="AA31" s="18"/>
      <c r="AB31" s="18"/>
      <c r="AC31" s="18"/>
      <c r="AD31" s="19">
        <f t="shared" si="4"/>
        <v>80</v>
      </c>
      <c r="AE31" s="21">
        <f t="shared" si="5"/>
        <v>1945</v>
      </c>
      <c r="AF31" s="21">
        <f t="shared" si="6"/>
        <v>400</v>
      </c>
      <c r="AG31" s="22">
        <v>1945</v>
      </c>
    </row>
    <row r="32" spans="1:33" ht="21" customHeight="1">
      <c r="A32" s="14" t="s">
        <v>57</v>
      </c>
      <c r="B32" s="14" t="s">
        <v>22</v>
      </c>
      <c r="C32" s="14">
        <v>10</v>
      </c>
      <c r="D32" s="14">
        <f t="shared" si="0"/>
        <v>40</v>
      </c>
      <c r="E32" s="14" t="s">
        <v>17</v>
      </c>
      <c r="F32" s="18">
        <v>186</v>
      </c>
      <c r="G32" s="18">
        <v>190</v>
      </c>
      <c r="H32" s="18">
        <v>212</v>
      </c>
      <c r="I32" s="18">
        <v>240</v>
      </c>
      <c r="J32" s="19">
        <f t="shared" si="1"/>
        <v>868</v>
      </c>
      <c r="K32" s="18">
        <v>212</v>
      </c>
      <c r="L32" s="18">
        <v>226</v>
      </c>
      <c r="M32" s="18">
        <v>236</v>
      </c>
      <c r="N32" s="18">
        <v>207</v>
      </c>
      <c r="O32" s="19">
        <f t="shared" si="8"/>
        <v>921</v>
      </c>
      <c r="P32" s="18">
        <v>203</v>
      </c>
      <c r="Q32" s="18">
        <v>169</v>
      </c>
      <c r="R32" s="18">
        <v>165</v>
      </c>
      <c r="S32" s="18">
        <v>146</v>
      </c>
      <c r="T32" s="19">
        <f t="shared" si="2"/>
        <v>723</v>
      </c>
      <c r="U32" s="18">
        <v>184</v>
      </c>
      <c r="V32" s="20">
        <v>151</v>
      </c>
      <c r="W32" s="18">
        <v>153</v>
      </c>
      <c r="X32" s="18">
        <v>194</v>
      </c>
      <c r="Y32" s="19">
        <f t="shared" si="3"/>
        <v>722</v>
      </c>
      <c r="Z32" s="18"/>
      <c r="AA32" s="18"/>
      <c r="AB32" s="18"/>
      <c r="AC32" s="18"/>
      <c r="AD32" s="19">
        <f t="shared" si="4"/>
        <v>40</v>
      </c>
      <c r="AE32" s="21">
        <f t="shared" si="5"/>
        <v>3074</v>
      </c>
      <c r="AF32" s="21">
        <f t="shared" si="6"/>
        <v>200</v>
      </c>
      <c r="AG32" s="21">
        <v>3234</v>
      </c>
    </row>
    <row r="33" spans="1:33" ht="21" customHeight="1">
      <c r="A33" s="14" t="s">
        <v>58</v>
      </c>
      <c r="B33" s="14" t="s">
        <v>31</v>
      </c>
      <c r="C33" s="14">
        <v>30</v>
      </c>
      <c r="D33" s="14">
        <f t="shared" si="0"/>
        <v>120</v>
      </c>
      <c r="E33" s="14" t="s">
        <v>59</v>
      </c>
      <c r="F33" s="18">
        <v>154</v>
      </c>
      <c r="G33" s="18">
        <v>159</v>
      </c>
      <c r="H33" s="18">
        <v>166</v>
      </c>
      <c r="I33" s="18">
        <v>144</v>
      </c>
      <c r="J33" s="19">
        <f t="shared" si="1"/>
        <v>743</v>
      </c>
      <c r="K33" s="18">
        <v>112</v>
      </c>
      <c r="L33" s="18">
        <v>156</v>
      </c>
      <c r="M33" s="18">
        <v>139</v>
      </c>
      <c r="N33" s="18">
        <v>163</v>
      </c>
      <c r="O33" s="19">
        <f t="shared" si="8"/>
        <v>690</v>
      </c>
      <c r="P33" s="18">
        <v>136</v>
      </c>
      <c r="Q33" s="18">
        <v>90</v>
      </c>
      <c r="R33" s="18">
        <v>133</v>
      </c>
      <c r="S33" s="18">
        <v>135</v>
      </c>
      <c r="T33" s="19">
        <f t="shared" si="2"/>
        <v>614</v>
      </c>
      <c r="U33" s="18"/>
      <c r="V33" s="18"/>
      <c r="W33" s="18"/>
      <c r="X33" s="18"/>
      <c r="Y33" s="19">
        <f t="shared" si="3"/>
        <v>120</v>
      </c>
      <c r="Z33" s="18"/>
      <c r="AA33" s="18"/>
      <c r="AB33" s="18"/>
      <c r="AC33" s="18"/>
      <c r="AD33" s="19">
        <f t="shared" si="4"/>
        <v>120</v>
      </c>
      <c r="AE33" s="21">
        <f t="shared" si="5"/>
        <v>1687</v>
      </c>
      <c r="AF33" s="21">
        <f t="shared" si="6"/>
        <v>600</v>
      </c>
      <c r="AG33" s="21">
        <f t="shared" ref="AG33:AG38" si="10">AE33+AF33</f>
        <v>2287</v>
      </c>
    </row>
    <row r="34" spans="1:33" ht="21" customHeight="1">
      <c r="A34" s="14" t="s">
        <v>60</v>
      </c>
      <c r="B34" s="14" t="s">
        <v>39</v>
      </c>
      <c r="C34" s="14">
        <v>15</v>
      </c>
      <c r="D34" s="14">
        <f t="shared" si="0"/>
        <v>60</v>
      </c>
      <c r="E34" s="14" t="s">
        <v>61</v>
      </c>
      <c r="F34" s="18">
        <v>155</v>
      </c>
      <c r="G34" s="18">
        <v>193</v>
      </c>
      <c r="H34" s="18">
        <v>167</v>
      </c>
      <c r="I34" s="18">
        <v>182</v>
      </c>
      <c r="J34" s="19">
        <f t="shared" si="1"/>
        <v>757</v>
      </c>
      <c r="K34" s="18">
        <v>179</v>
      </c>
      <c r="L34" s="18">
        <v>192</v>
      </c>
      <c r="M34" s="18">
        <v>148</v>
      </c>
      <c r="N34" s="18">
        <v>140</v>
      </c>
      <c r="O34" s="19">
        <f t="shared" si="8"/>
        <v>719</v>
      </c>
      <c r="P34" s="18">
        <v>166</v>
      </c>
      <c r="Q34" s="18">
        <v>168</v>
      </c>
      <c r="R34" s="18">
        <v>131</v>
      </c>
      <c r="S34" s="18">
        <v>139</v>
      </c>
      <c r="T34" s="19">
        <f t="shared" si="2"/>
        <v>664</v>
      </c>
      <c r="U34" s="18"/>
      <c r="V34" s="18"/>
      <c r="W34" s="18"/>
      <c r="X34" s="18"/>
      <c r="Y34" s="19">
        <f t="shared" si="3"/>
        <v>60</v>
      </c>
      <c r="Z34" s="18"/>
      <c r="AA34" s="18"/>
      <c r="AB34" s="18"/>
      <c r="AC34" s="18"/>
      <c r="AD34" s="19">
        <f t="shared" si="4"/>
        <v>60</v>
      </c>
      <c r="AE34" s="21">
        <f t="shared" si="5"/>
        <v>1960</v>
      </c>
      <c r="AF34" s="21">
        <f t="shared" si="6"/>
        <v>300</v>
      </c>
      <c r="AG34" s="21">
        <f t="shared" si="10"/>
        <v>2260</v>
      </c>
    </row>
    <row r="35" spans="1:33" ht="21" customHeight="1">
      <c r="A35" s="14" t="s">
        <v>62</v>
      </c>
      <c r="B35" s="14" t="s">
        <v>28</v>
      </c>
      <c r="C35" s="14">
        <v>20</v>
      </c>
      <c r="D35" s="14">
        <f t="shared" si="0"/>
        <v>80</v>
      </c>
      <c r="E35" s="14" t="s">
        <v>29</v>
      </c>
      <c r="F35" s="18">
        <v>221</v>
      </c>
      <c r="G35" s="18">
        <v>168</v>
      </c>
      <c r="H35" s="18">
        <v>169</v>
      </c>
      <c r="I35" s="18">
        <v>184</v>
      </c>
      <c r="J35" s="19">
        <f t="shared" si="1"/>
        <v>822</v>
      </c>
      <c r="K35" s="18">
        <v>138</v>
      </c>
      <c r="L35" s="18">
        <v>156</v>
      </c>
      <c r="M35" s="18">
        <v>167</v>
      </c>
      <c r="N35" s="18">
        <v>158</v>
      </c>
      <c r="O35" s="19">
        <f t="shared" si="8"/>
        <v>699</v>
      </c>
      <c r="P35" s="18">
        <v>167</v>
      </c>
      <c r="Q35" s="18">
        <v>180</v>
      </c>
      <c r="R35" s="18">
        <v>172</v>
      </c>
      <c r="S35" s="18">
        <v>190</v>
      </c>
      <c r="T35" s="19">
        <f t="shared" si="2"/>
        <v>789</v>
      </c>
      <c r="U35" s="18"/>
      <c r="V35" s="18"/>
      <c r="W35" s="18"/>
      <c r="X35" s="18"/>
      <c r="Y35" s="19">
        <f t="shared" si="3"/>
        <v>80</v>
      </c>
      <c r="Z35" s="18"/>
      <c r="AA35" s="18"/>
      <c r="AB35" s="18"/>
      <c r="AC35" s="18"/>
      <c r="AD35" s="19">
        <f t="shared" si="4"/>
        <v>80</v>
      </c>
      <c r="AE35" s="21">
        <f t="shared" si="5"/>
        <v>2070</v>
      </c>
      <c r="AF35" s="21">
        <f t="shared" si="6"/>
        <v>400</v>
      </c>
      <c r="AG35" s="21">
        <f t="shared" si="10"/>
        <v>2470</v>
      </c>
    </row>
    <row r="36" spans="1:33" ht="21" customHeight="1">
      <c r="A36" s="14" t="s">
        <v>63</v>
      </c>
      <c r="B36" s="23" t="s">
        <v>22</v>
      </c>
      <c r="C36" s="14">
        <v>10</v>
      </c>
      <c r="D36" s="14">
        <f t="shared" si="0"/>
        <v>40</v>
      </c>
      <c r="E36" s="14" t="s">
        <v>17</v>
      </c>
      <c r="F36" s="18">
        <v>134</v>
      </c>
      <c r="G36" s="18">
        <v>192</v>
      </c>
      <c r="H36" s="18">
        <v>182</v>
      </c>
      <c r="I36" s="18">
        <v>159</v>
      </c>
      <c r="J36" s="19">
        <f t="shared" si="1"/>
        <v>707</v>
      </c>
      <c r="K36" s="18">
        <v>148</v>
      </c>
      <c r="L36" s="18">
        <v>166</v>
      </c>
      <c r="M36" s="18">
        <v>186</v>
      </c>
      <c r="N36" s="18">
        <v>169</v>
      </c>
      <c r="O36" s="19">
        <f t="shared" si="8"/>
        <v>709</v>
      </c>
      <c r="P36" s="18"/>
      <c r="Q36" s="18"/>
      <c r="R36" s="18"/>
      <c r="S36" s="18"/>
      <c r="T36" s="19">
        <f t="shared" si="2"/>
        <v>40</v>
      </c>
      <c r="U36" s="18"/>
      <c r="V36" s="18"/>
      <c r="W36" s="18"/>
      <c r="X36" s="18"/>
      <c r="Y36" s="19">
        <f t="shared" si="3"/>
        <v>40</v>
      </c>
      <c r="Z36" s="18"/>
      <c r="AA36" s="18"/>
      <c r="AB36" s="18"/>
      <c r="AC36" s="18"/>
      <c r="AD36" s="19">
        <f t="shared" si="4"/>
        <v>40</v>
      </c>
      <c r="AE36" s="21">
        <f t="shared" si="5"/>
        <v>1336</v>
      </c>
      <c r="AF36" s="21">
        <f t="shared" si="6"/>
        <v>200</v>
      </c>
      <c r="AG36" s="21">
        <f t="shared" si="10"/>
        <v>1536</v>
      </c>
    </row>
    <row r="37" spans="1:33" ht="21" customHeight="1">
      <c r="A37" s="14" t="s">
        <v>64</v>
      </c>
      <c r="B37" s="23" t="s">
        <v>16</v>
      </c>
      <c r="C37" s="23">
        <v>0</v>
      </c>
      <c r="D37" s="23">
        <v>0</v>
      </c>
      <c r="E37" s="23" t="s">
        <v>17</v>
      </c>
      <c r="F37" s="18">
        <v>256</v>
      </c>
      <c r="G37" s="18">
        <v>235</v>
      </c>
      <c r="H37" s="18">
        <v>227</v>
      </c>
      <c r="I37" s="18">
        <v>185</v>
      </c>
      <c r="J37" s="19">
        <f t="shared" si="1"/>
        <v>903</v>
      </c>
      <c r="K37" s="18">
        <v>227</v>
      </c>
      <c r="L37" s="18">
        <v>223</v>
      </c>
      <c r="M37" s="18">
        <v>290</v>
      </c>
      <c r="N37" s="18">
        <v>236</v>
      </c>
      <c r="O37" s="19">
        <f t="shared" si="8"/>
        <v>976</v>
      </c>
      <c r="P37" s="18"/>
      <c r="Q37" s="18"/>
      <c r="R37" s="18"/>
      <c r="S37" s="18"/>
      <c r="T37" s="19">
        <f t="shared" si="2"/>
        <v>0</v>
      </c>
      <c r="U37" s="18"/>
      <c r="V37" s="18"/>
      <c r="W37" s="18"/>
      <c r="X37" s="18"/>
      <c r="Y37" s="19">
        <f t="shared" si="3"/>
        <v>0</v>
      </c>
      <c r="Z37" s="18"/>
      <c r="AA37" s="18"/>
      <c r="AB37" s="18"/>
      <c r="AC37" s="18"/>
      <c r="AD37" s="19">
        <f t="shared" si="4"/>
        <v>0</v>
      </c>
      <c r="AE37" s="21">
        <f t="shared" si="5"/>
        <v>1879</v>
      </c>
      <c r="AF37" s="21">
        <f t="shared" si="6"/>
        <v>0</v>
      </c>
      <c r="AG37" s="21">
        <f t="shared" si="10"/>
        <v>1879</v>
      </c>
    </row>
    <row r="38" spans="1:33" ht="21" customHeight="1">
      <c r="A38" s="14" t="s">
        <v>65</v>
      </c>
      <c r="B38" s="24" t="s">
        <v>20</v>
      </c>
      <c r="C38" s="23">
        <v>5</v>
      </c>
      <c r="D38" s="23">
        <v>20</v>
      </c>
      <c r="E38" s="23" t="s">
        <v>29</v>
      </c>
      <c r="F38" s="18">
        <v>181</v>
      </c>
      <c r="G38" s="18">
        <v>190</v>
      </c>
      <c r="H38" s="18">
        <v>193</v>
      </c>
      <c r="I38" s="18">
        <v>206</v>
      </c>
      <c r="J38" s="19">
        <f t="shared" si="1"/>
        <v>790</v>
      </c>
      <c r="K38" s="18">
        <v>246</v>
      </c>
      <c r="L38" s="18">
        <v>203</v>
      </c>
      <c r="M38" s="18">
        <v>200</v>
      </c>
      <c r="N38" s="18">
        <v>182</v>
      </c>
      <c r="O38" s="19">
        <f t="shared" si="8"/>
        <v>851</v>
      </c>
      <c r="P38" s="18">
        <v>218</v>
      </c>
      <c r="Q38" s="18">
        <v>215</v>
      </c>
      <c r="R38" s="18">
        <v>185</v>
      </c>
      <c r="S38" s="18">
        <v>188</v>
      </c>
      <c r="T38" s="19">
        <f t="shared" si="2"/>
        <v>826</v>
      </c>
      <c r="U38" s="18">
        <v>213</v>
      </c>
      <c r="V38" s="20">
        <v>181</v>
      </c>
      <c r="W38" s="18">
        <v>217</v>
      </c>
      <c r="X38" s="18">
        <v>190</v>
      </c>
      <c r="Y38" s="19">
        <f t="shared" si="3"/>
        <v>821</v>
      </c>
      <c r="Z38" s="18"/>
      <c r="AA38" s="18"/>
      <c r="AB38" s="18"/>
      <c r="AC38" s="18"/>
      <c r="AD38" s="19">
        <f t="shared" si="4"/>
        <v>20</v>
      </c>
      <c r="AE38" s="21">
        <f t="shared" si="5"/>
        <v>3208</v>
      </c>
      <c r="AF38" s="21">
        <f t="shared" si="6"/>
        <v>100</v>
      </c>
      <c r="AG38" s="21">
        <f t="shared" si="10"/>
        <v>3308</v>
      </c>
    </row>
    <row r="39" spans="1:33" ht="21" customHeight="1">
      <c r="A39" s="25"/>
      <c r="B39" s="25"/>
      <c r="C39" s="25"/>
      <c r="D39" s="25"/>
      <c r="E39" s="25"/>
      <c r="J39" s="26"/>
      <c r="O39" s="26"/>
      <c r="T39" s="26"/>
      <c r="Y39" s="26"/>
      <c r="AD39" s="26"/>
      <c r="AE39" s="27"/>
      <c r="AF39" s="27"/>
      <c r="AG39" s="27"/>
    </row>
    <row r="40" spans="1:33" ht="21" customHeight="1">
      <c r="A40" s="25"/>
      <c r="B40" s="25"/>
      <c r="C40" s="25"/>
      <c r="D40" s="25"/>
      <c r="E40" s="25"/>
      <c r="J40" s="26"/>
      <c r="O40" s="26"/>
      <c r="T40" s="26"/>
      <c r="Y40" s="26"/>
      <c r="AD40" s="26"/>
      <c r="AE40" s="27"/>
      <c r="AF40" s="27"/>
      <c r="AG40" s="27"/>
    </row>
    <row r="41" spans="1:33" ht="21" customHeight="1">
      <c r="A41" s="25"/>
      <c r="B41" s="25"/>
      <c r="C41" s="25"/>
      <c r="D41" s="25"/>
      <c r="E41" s="25"/>
      <c r="J41" s="26"/>
      <c r="O41" s="26"/>
      <c r="T41" s="26"/>
      <c r="Y41" s="26"/>
      <c r="AD41" s="26"/>
      <c r="AE41" s="27"/>
      <c r="AF41" s="27"/>
      <c r="AG41" s="27"/>
    </row>
    <row r="42" spans="1:33" ht="21" customHeight="1">
      <c r="A42" s="25"/>
      <c r="B42" s="25"/>
      <c r="C42" s="25"/>
      <c r="D42" s="25"/>
      <c r="E42" s="25"/>
      <c r="J42" s="26"/>
      <c r="O42" s="26"/>
      <c r="T42" s="26"/>
      <c r="Y42" s="26"/>
      <c r="AD42" s="26"/>
      <c r="AE42" s="27"/>
      <c r="AF42" s="27"/>
      <c r="AG42" s="27"/>
    </row>
    <row r="43" spans="1:33" ht="21" customHeight="1">
      <c r="A43" s="25"/>
      <c r="B43" s="25"/>
      <c r="C43" s="25"/>
      <c r="D43" s="25"/>
      <c r="E43" s="25"/>
      <c r="J43" s="26"/>
      <c r="O43" s="26"/>
      <c r="T43" s="26"/>
      <c r="Y43" s="26"/>
      <c r="AD43" s="26"/>
      <c r="AE43" s="27"/>
      <c r="AF43" s="27"/>
      <c r="AG43" s="27"/>
    </row>
    <row r="44" spans="1:33" ht="21" customHeight="1">
      <c r="A44" s="25"/>
      <c r="B44" s="25"/>
      <c r="C44" s="25"/>
      <c r="D44" s="25"/>
      <c r="E44" s="25"/>
      <c r="J44" s="26"/>
      <c r="O44" s="26"/>
      <c r="T44" s="26"/>
      <c r="Y44" s="26"/>
      <c r="AD44" s="26"/>
      <c r="AE44" s="27"/>
      <c r="AF44" s="27"/>
      <c r="AG44" s="27"/>
    </row>
    <row r="45" spans="1:33" ht="21" customHeight="1">
      <c r="A45" s="25"/>
      <c r="B45" s="25"/>
      <c r="C45" s="25"/>
      <c r="D45" s="25"/>
      <c r="E45" s="25"/>
      <c r="J45" s="26"/>
      <c r="O45" s="26"/>
      <c r="T45" s="26"/>
      <c r="Y45" s="26"/>
      <c r="AD45" s="26"/>
      <c r="AE45" s="27"/>
      <c r="AF45" s="27"/>
      <c r="AG45" s="27"/>
    </row>
    <row r="46" spans="1:33" ht="21" customHeight="1">
      <c r="A46" s="25"/>
      <c r="B46" s="25"/>
      <c r="C46" s="25"/>
      <c r="D46" s="25"/>
      <c r="E46" s="25"/>
      <c r="J46" s="26"/>
      <c r="O46" s="26"/>
      <c r="T46" s="26"/>
      <c r="Y46" s="26"/>
      <c r="AD46" s="26"/>
      <c r="AE46" s="27"/>
      <c r="AF46" s="27"/>
      <c r="AG46" s="27"/>
    </row>
    <row r="47" spans="1:33" ht="21" customHeight="1">
      <c r="A47" s="25"/>
      <c r="B47" s="25"/>
      <c r="C47" s="25"/>
      <c r="D47" s="25"/>
      <c r="E47" s="25"/>
      <c r="J47" s="26"/>
      <c r="O47" s="26"/>
      <c r="T47" s="26"/>
      <c r="Y47" s="26"/>
      <c r="AD47" s="26"/>
      <c r="AE47" s="27"/>
      <c r="AF47" s="27"/>
      <c r="AG47" s="27"/>
    </row>
    <row r="48" spans="1:33" ht="21" customHeight="1">
      <c r="A48" s="25"/>
      <c r="B48" s="25"/>
      <c r="C48" s="25"/>
      <c r="D48" s="25"/>
      <c r="E48" s="25"/>
      <c r="J48" s="26"/>
      <c r="O48" s="26"/>
      <c r="T48" s="26"/>
      <c r="Y48" s="26"/>
      <c r="AD48" s="26"/>
      <c r="AE48" s="27"/>
      <c r="AF48" s="27"/>
      <c r="AG48" s="27"/>
    </row>
    <row r="49" spans="1:33" ht="21" customHeight="1">
      <c r="A49" s="25"/>
      <c r="B49" s="25"/>
      <c r="C49" s="25"/>
      <c r="D49" s="25"/>
      <c r="E49" s="25"/>
      <c r="J49" s="26"/>
      <c r="O49" s="26"/>
      <c r="T49" s="26"/>
      <c r="Y49" s="26"/>
      <c r="AD49" s="26"/>
      <c r="AE49" s="27"/>
      <c r="AF49" s="27"/>
      <c r="AG49" s="27"/>
    </row>
    <row r="50" spans="1:33" ht="21" customHeight="1">
      <c r="A50" s="25"/>
      <c r="B50" s="25"/>
      <c r="C50" s="25"/>
      <c r="D50" s="25"/>
      <c r="E50" s="25"/>
      <c r="J50" s="26"/>
      <c r="O50" s="26"/>
      <c r="T50" s="26"/>
      <c r="Y50" s="26"/>
      <c r="AD50" s="26"/>
      <c r="AE50" s="27"/>
      <c r="AF50" s="27"/>
      <c r="AG50" s="27"/>
    </row>
    <row r="51" spans="1:33" ht="21" customHeight="1">
      <c r="A51" s="25"/>
      <c r="B51" s="25"/>
      <c r="C51" s="25"/>
      <c r="D51" s="25"/>
      <c r="E51" s="25"/>
      <c r="J51" s="26"/>
      <c r="O51" s="26"/>
      <c r="T51" s="26"/>
      <c r="Y51" s="26"/>
      <c r="AD51" s="26"/>
      <c r="AE51" s="27"/>
      <c r="AF51" s="27"/>
      <c r="AG51" s="27"/>
    </row>
    <row r="52" spans="1:33" ht="21" customHeight="1">
      <c r="A52" s="25"/>
      <c r="B52" s="25"/>
      <c r="C52" s="25"/>
      <c r="D52" s="25"/>
      <c r="E52" s="25"/>
      <c r="J52" s="26"/>
      <c r="O52" s="26"/>
      <c r="T52" s="26"/>
      <c r="Y52" s="26"/>
      <c r="AD52" s="26"/>
      <c r="AE52" s="27"/>
      <c r="AF52" s="27"/>
      <c r="AG52" s="27"/>
    </row>
    <row r="53" spans="1:33" ht="21" customHeight="1">
      <c r="A53" s="25"/>
      <c r="B53" s="25"/>
      <c r="C53" s="25"/>
      <c r="D53" s="25"/>
      <c r="E53" s="25"/>
      <c r="J53" s="26"/>
      <c r="O53" s="26"/>
      <c r="T53" s="26"/>
      <c r="Y53" s="26"/>
      <c r="AD53" s="26"/>
      <c r="AE53" s="27"/>
      <c r="AF53" s="27"/>
      <c r="AG53" s="27"/>
    </row>
    <row r="54" spans="1:33" ht="21" customHeight="1">
      <c r="A54" s="25"/>
      <c r="B54" s="25"/>
      <c r="C54" s="25"/>
      <c r="D54" s="25"/>
      <c r="E54" s="25"/>
      <c r="J54" s="26"/>
      <c r="O54" s="26"/>
      <c r="T54" s="26"/>
      <c r="Y54" s="26"/>
      <c r="AD54" s="26"/>
      <c r="AE54" s="27"/>
      <c r="AF54" s="27"/>
      <c r="AG54" s="27"/>
    </row>
    <row r="55" spans="1:33" ht="21" customHeight="1">
      <c r="A55" s="25"/>
      <c r="B55" s="25"/>
      <c r="C55" s="25"/>
      <c r="D55" s="25"/>
      <c r="E55" s="25"/>
      <c r="J55" s="26"/>
      <c r="O55" s="26"/>
      <c r="T55" s="26"/>
      <c r="Y55" s="26"/>
      <c r="AD55" s="26"/>
      <c r="AE55" s="27"/>
      <c r="AF55" s="27"/>
      <c r="AG55" s="27"/>
    </row>
    <row r="56" spans="1:33" ht="21" customHeight="1">
      <c r="A56" s="25"/>
      <c r="B56" s="25"/>
      <c r="C56" s="25"/>
      <c r="D56" s="25"/>
      <c r="E56" s="25"/>
      <c r="J56" s="26"/>
      <c r="O56" s="26"/>
      <c r="T56" s="26"/>
      <c r="Y56" s="26"/>
      <c r="AD56" s="26"/>
      <c r="AE56" s="27"/>
      <c r="AF56" s="27"/>
      <c r="AG56" s="27"/>
    </row>
    <row r="57" spans="1:33" ht="21" customHeight="1">
      <c r="A57" s="25"/>
      <c r="B57" s="25"/>
      <c r="C57" s="25"/>
      <c r="D57" s="25"/>
      <c r="E57" s="25"/>
      <c r="J57" s="26"/>
      <c r="O57" s="26"/>
      <c r="T57" s="26"/>
      <c r="Y57" s="26"/>
      <c r="AD57" s="26"/>
      <c r="AE57" s="27"/>
      <c r="AF57" s="27"/>
      <c r="AG57" s="27"/>
    </row>
    <row r="58" spans="1:33" ht="21" customHeight="1">
      <c r="A58" s="25"/>
      <c r="B58" s="25"/>
      <c r="C58" s="25"/>
      <c r="D58" s="25"/>
      <c r="E58" s="25"/>
      <c r="J58" s="26"/>
      <c r="O58" s="26"/>
      <c r="T58" s="26"/>
      <c r="Y58" s="26"/>
      <c r="AD58" s="26"/>
      <c r="AE58" s="27"/>
      <c r="AF58" s="27"/>
      <c r="AG58" s="27"/>
    </row>
    <row r="59" spans="1:33" ht="21" customHeight="1">
      <c r="A59" s="25"/>
      <c r="B59" s="25"/>
      <c r="C59" s="25"/>
      <c r="D59" s="25"/>
      <c r="E59" s="25"/>
      <c r="J59" s="26"/>
      <c r="O59" s="26"/>
      <c r="T59" s="26"/>
      <c r="Y59" s="26"/>
      <c r="AD59" s="26"/>
      <c r="AE59" s="27"/>
      <c r="AF59" s="27"/>
      <c r="AG59" s="27"/>
    </row>
    <row r="60" spans="1:33" ht="21" customHeight="1">
      <c r="A60" s="25"/>
      <c r="B60" s="25"/>
      <c r="C60" s="25"/>
      <c r="D60" s="25"/>
      <c r="E60" s="25"/>
      <c r="J60" s="26"/>
      <c r="O60" s="26"/>
      <c r="T60" s="26"/>
      <c r="Y60" s="26"/>
      <c r="AD60" s="26"/>
      <c r="AE60" s="27"/>
      <c r="AF60" s="27"/>
      <c r="AG60" s="27"/>
    </row>
    <row r="61" spans="1:33" ht="21" customHeight="1">
      <c r="A61" s="25"/>
      <c r="B61" s="25"/>
      <c r="C61" s="25"/>
      <c r="D61" s="25"/>
      <c r="E61" s="25"/>
      <c r="J61" s="26"/>
      <c r="O61" s="26"/>
      <c r="T61" s="26"/>
      <c r="Y61" s="26"/>
      <c r="AD61" s="26"/>
      <c r="AE61" s="27"/>
      <c r="AF61" s="27"/>
      <c r="AG61" s="27"/>
    </row>
    <row r="62" spans="1:33" ht="21" customHeight="1">
      <c r="A62" s="25"/>
      <c r="B62" s="25"/>
      <c r="C62" s="25"/>
      <c r="D62" s="25"/>
      <c r="E62" s="25"/>
      <c r="J62" s="26"/>
      <c r="O62" s="26"/>
      <c r="T62" s="26"/>
      <c r="Y62" s="26"/>
      <c r="AD62" s="26"/>
      <c r="AE62" s="27"/>
      <c r="AF62" s="27"/>
      <c r="AG62" s="27"/>
    </row>
    <row r="63" spans="1:33" ht="21" customHeight="1">
      <c r="A63" s="25"/>
      <c r="B63" s="25"/>
      <c r="C63" s="25"/>
      <c r="D63" s="25"/>
      <c r="E63" s="25"/>
      <c r="J63" s="26"/>
      <c r="O63" s="26"/>
      <c r="T63" s="26"/>
      <c r="Y63" s="26"/>
      <c r="AD63" s="26"/>
      <c r="AE63" s="27"/>
      <c r="AF63" s="27"/>
      <c r="AG63" s="27"/>
    </row>
    <row r="64" spans="1:33" ht="21" customHeight="1">
      <c r="A64" s="25"/>
      <c r="B64" s="25"/>
      <c r="C64" s="25"/>
      <c r="D64" s="25"/>
      <c r="E64" s="25"/>
      <c r="J64" s="26"/>
      <c r="O64" s="26"/>
      <c r="T64" s="26"/>
      <c r="Y64" s="26"/>
      <c r="AD64" s="26"/>
      <c r="AE64" s="27"/>
      <c r="AF64" s="27"/>
      <c r="AG64" s="27"/>
    </row>
    <row r="65" spans="1:33" ht="21" customHeight="1">
      <c r="A65" s="25"/>
      <c r="B65" s="25"/>
      <c r="C65" s="25"/>
      <c r="D65" s="25"/>
      <c r="E65" s="25"/>
      <c r="J65" s="26"/>
      <c r="O65" s="26"/>
      <c r="T65" s="26"/>
      <c r="Y65" s="26"/>
      <c r="AD65" s="26"/>
      <c r="AE65" s="27"/>
      <c r="AF65" s="27"/>
      <c r="AG65" s="27"/>
    </row>
    <row r="66" spans="1:33" ht="21" customHeight="1">
      <c r="A66" s="25"/>
      <c r="B66" s="25"/>
      <c r="C66" s="25"/>
      <c r="D66" s="25"/>
      <c r="E66" s="25"/>
      <c r="J66" s="26"/>
      <c r="O66" s="26"/>
      <c r="T66" s="26"/>
      <c r="Y66" s="26"/>
      <c r="AD66" s="26"/>
      <c r="AE66" s="27"/>
      <c r="AF66" s="27"/>
      <c r="AG66" s="27"/>
    </row>
    <row r="67" spans="1:33" ht="21" customHeight="1">
      <c r="A67" s="25"/>
      <c r="B67" s="25"/>
      <c r="C67" s="25"/>
      <c r="D67" s="25"/>
      <c r="E67" s="25"/>
      <c r="J67" s="26"/>
      <c r="O67" s="26"/>
      <c r="T67" s="26"/>
      <c r="Y67" s="26"/>
      <c r="AD67" s="26"/>
      <c r="AE67" s="27"/>
      <c r="AF67" s="27"/>
      <c r="AG67" s="27"/>
    </row>
    <row r="68" spans="1:33" ht="21" customHeight="1">
      <c r="A68" s="25"/>
      <c r="B68" s="25"/>
      <c r="C68" s="25"/>
      <c r="D68" s="25"/>
      <c r="E68" s="25"/>
      <c r="J68" s="26"/>
      <c r="O68" s="26"/>
      <c r="T68" s="26"/>
      <c r="Y68" s="26"/>
      <c r="AD68" s="26"/>
      <c r="AE68" s="27"/>
      <c r="AF68" s="27"/>
      <c r="AG68" s="27"/>
    </row>
    <row r="69" spans="1:33" ht="21" customHeight="1">
      <c r="A69" s="25"/>
      <c r="B69" s="25"/>
      <c r="C69" s="25"/>
      <c r="D69" s="25"/>
      <c r="E69" s="25"/>
      <c r="J69" s="26"/>
      <c r="O69" s="26"/>
      <c r="T69" s="26"/>
      <c r="Y69" s="26"/>
      <c r="AD69" s="26"/>
      <c r="AE69" s="27"/>
      <c r="AF69" s="27"/>
      <c r="AG69" s="27"/>
    </row>
    <row r="70" spans="1:33" ht="21" customHeight="1">
      <c r="A70" s="25"/>
      <c r="B70" s="25"/>
      <c r="C70" s="25"/>
      <c r="D70" s="25"/>
      <c r="E70" s="25"/>
      <c r="J70" s="26"/>
      <c r="O70" s="26"/>
      <c r="T70" s="26"/>
      <c r="Y70" s="26"/>
      <c r="AD70" s="26"/>
      <c r="AE70" s="27"/>
      <c r="AF70" s="27"/>
      <c r="AG70" s="27"/>
    </row>
    <row r="71" spans="1:33" ht="21" customHeight="1">
      <c r="A71" s="25"/>
      <c r="B71" s="25"/>
      <c r="C71" s="25"/>
      <c r="D71" s="25"/>
      <c r="E71" s="25"/>
      <c r="J71" s="26"/>
      <c r="O71" s="26"/>
      <c r="T71" s="26"/>
      <c r="Y71" s="26"/>
      <c r="AD71" s="26"/>
      <c r="AE71" s="27"/>
      <c r="AF71" s="27"/>
      <c r="AG71" s="27"/>
    </row>
    <row r="72" spans="1:33" ht="21" customHeight="1">
      <c r="A72" s="25"/>
      <c r="B72" s="25"/>
      <c r="C72" s="25"/>
      <c r="D72" s="25"/>
      <c r="E72" s="25"/>
      <c r="J72" s="26"/>
      <c r="O72" s="26"/>
      <c r="T72" s="26"/>
      <c r="Y72" s="26"/>
      <c r="AD72" s="26"/>
      <c r="AE72" s="27"/>
      <c r="AF72" s="27"/>
      <c r="AG72" s="27"/>
    </row>
    <row r="73" spans="1:33" ht="21" customHeight="1">
      <c r="A73" s="25"/>
      <c r="B73" s="25"/>
      <c r="C73" s="25"/>
      <c r="D73" s="25"/>
      <c r="E73" s="25"/>
      <c r="J73" s="26"/>
      <c r="O73" s="26"/>
      <c r="T73" s="26"/>
      <c r="Y73" s="26"/>
      <c r="AD73" s="26"/>
      <c r="AE73" s="27"/>
      <c r="AF73" s="27"/>
      <c r="AG73" s="27"/>
    </row>
    <row r="74" spans="1:33" ht="21" customHeight="1">
      <c r="A74" s="25"/>
      <c r="B74" s="25"/>
      <c r="C74" s="25"/>
      <c r="D74" s="25"/>
      <c r="E74" s="25"/>
      <c r="J74" s="26"/>
      <c r="O74" s="26"/>
      <c r="T74" s="26"/>
      <c r="Y74" s="26"/>
      <c r="AD74" s="26"/>
      <c r="AE74" s="27"/>
      <c r="AF74" s="27"/>
      <c r="AG74" s="27"/>
    </row>
    <row r="75" spans="1:33" ht="21" customHeight="1">
      <c r="A75" s="25"/>
      <c r="B75" s="25"/>
      <c r="C75" s="25"/>
      <c r="D75" s="25"/>
      <c r="E75" s="25"/>
      <c r="J75" s="26"/>
      <c r="O75" s="26"/>
      <c r="T75" s="26"/>
      <c r="Y75" s="26"/>
      <c r="AD75" s="26"/>
      <c r="AE75" s="27"/>
      <c r="AF75" s="27"/>
      <c r="AG75" s="27"/>
    </row>
    <row r="76" spans="1:33" ht="21" customHeight="1">
      <c r="A76" s="25"/>
      <c r="B76" s="25"/>
      <c r="C76" s="25"/>
      <c r="D76" s="25"/>
      <c r="E76" s="25"/>
      <c r="J76" s="26"/>
      <c r="O76" s="26"/>
      <c r="T76" s="26"/>
      <c r="Y76" s="26"/>
      <c r="AD76" s="26"/>
      <c r="AE76" s="27"/>
      <c r="AF76" s="27"/>
      <c r="AG76" s="27"/>
    </row>
    <row r="77" spans="1:33" ht="21" customHeight="1">
      <c r="A77" s="25"/>
      <c r="B77" s="25"/>
      <c r="C77" s="25"/>
      <c r="D77" s="25"/>
      <c r="E77" s="25"/>
      <c r="J77" s="26"/>
      <c r="O77" s="26"/>
      <c r="T77" s="26"/>
      <c r="Y77" s="26"/>
      <c r="AD77" s="26"/>
      <c r="AE77" s="27"/>
      <c r="AF77" s="27"/>
      <c r="AG77" s="27"/>
    </row>
    <row r="78" spans="1:33" ht="21" customHeight="1">
      <c r="A78" s="25"/>
      <c r="B78" s="25"/>
      <c r="C78" s="25"/>
      <c r="D78" s="25"/>
      <c r="E78" s="25"/>
      <c r="J78" s="26"/>
      <c r="O78" s="26"/>
      <c r="T78" s="26"/>
      <c r="Y78" s="26"/>
      <c r="AD78" s="26"/>
      <c r="AE78" s="27"/>
      <c r="AF78" s="27"/>
      <c r="AG78" s="27"/>
    </row>
    <row r="79" spans="1:33" ht="21" customHeight="1">
      <c r="A79" s="25"/>
      <c r="B79" s="25"/>
      <c r="C79" s="25"/>
      <c r="D79" s="25"/>
      <c r="E79" s="25"/>
      <c r="J79" s="26"/>
      <c r="O79" s="26"/>
      <c r="T79" s="26"/>
      <c r="Y79" s="26"/>
      <c r="AD79" s="26"/>
      <c r="AE79" s="27"/>
      <c r="AF79" s="27"/>
      <c r="AG79" s="27"/>
    </row>
    <row r="80" spans="1:33" ht="21" customHeight="1">
      <c r="A80" s="25"/>
      <c r="B80" s="25"/>
      <c r="C80" s="25"/>
      <c r="D80" s="25"/>
      <c r="E80" s="25"/>
      <c r="J80" s="26"/>
      <c r="O80" s="26"/>
      <c r="T80" s="26"/>
      <c r="Y80" s="26"/>
      <c r="AD80" s="26"/>
      <c r="AE80" s="27"/>
      <c r="AF80" s="27"/>
      <c r="AG80" s="27"/>
    </row>
    <row r="81" spans="1:33" ht="21" customHeight="1">
      <c r="A81" s="25"/>
      <c r="B81" s="25"/>
      <c r="C81" s="25"/>
      <c r="D81" s="25"/>
      <c r="E81" s="25"/>
      <c r="J81" s="26"/>
      <c r="O81" s="26"/>
      <c r="T81" s="26"/>
      <c r="Y81" s="26"/>
      <c r="AD81" s="26"/>
      <c r="AE81" s="27"/>
      <c r="AF81" s="27"/>
      <c r="AG81" s="27"/>
    </row>
    <row r="82" spans="1:33" ht="21" customHeight="1">
      <c r="A82" s="25"/>
      <c r="B82" s="25"/>
      <c r="C82" s="25"/>
      <c r="D82" s="25"/>
      <c r="E82" s="25"/>
      <c r="J82" s="26"/>
      <c r="O82" s="26"/>
      <c r="T82" s="26"/>
      <c r="Y82" s="26"/>
      <c r="AD82" s="26"/>
      <c r="AE82" s="27"/>
      <c r="AF82" s="27"/>
      <c r="AG82" s="27"/>
    </row>
    <row r="83" spans="1:33" ht="21" customHeight="1">
      <c r="A83" s="25"/>
      <c r="B83" s="25"/>
      <c r="C83" s="25"/>
      <c r="D83" s="25"/>
      <c r="E83" s="25"/>
      <c r="J83" s="26"/>
      <c r="O83" s="26"/>
      <c r="T83" s="26"/>
      <c r="Y83" s="26"/>
      <c r="AD83" s="26"/>
      <c r="AE83" s="27"/>
      <c r="AF83" s="27"/>
      <c r="AG83" s="27"/>
    </row>
    <row r="84" spans="1:33" ht="21" customHeight="1">
      <c r="A84" s="25"/>
      <c r="B84" s="25"/>
      <c r="C84" s="25"/>
      <c r="D84" s="25"/>
      <c r="E84" s="25"/>
      <c r="J84" s="26"/>
      <c r="O84" s="26"/>
      <c r="T84" s="26"/>
      <c r="Y84" s="26"/>
      <c r="AD84" s="26"/>
      <c r="AE84" s="27"/>
      <c r="AF84" s="27"/>
      <c r="AG84" s="27"/>
    </row>
    <row r="85" spans="1:33" ht="21" customHeight="1">
      <c r="A85" s="25"/>
      <c r="B85" s="25"/>
      <c r="C85" s="25"/>
      <c r="D85" s="25"/>
      <c r="E85" s="25"/>
      <c r="J85" s="26"/>
      <c r="O85" s="26"/>
      <c r="T85" s="26"/>
      <c r="Y85" s="26"/>
      <c r="AD85" s="26"/>
      <c r="AE85" s="27"/>
      <c r="AF85" s="27"/>
      <c r="AG85" s="27"/>
    </row>
    <row r="86" spans="1:33" ht="21" customHeight="1">
      <c r="A86" s="25"/>
      <c r="B86" s="25"/>
      <c r="C86" s="25"/>
      <c r="D86" s="25"/>
      <c r="E86" s="25"/>
      <c r="J86" s="26"/>
      <c r="O86" s="26"/>
      <c r="T86" s="26"/>
      <c r="Y86" s="26"/>
      <c r="AD86" s="26"/>
      <c r="AE86" s="27"/>
      <c r="AF86" s="27"/>
      <c r="AG86" s="27"/>
    </row>
    <row r="87" spans="1:33" ht="21" customHeight="1">
      <c r="A87" s="25"/>
      <c r="B87" s="25"/>
      <c r="C87" s="25"/>
      <c r="D87" s="25"/>
      <c r="E87" s="25"/>
      <c r="J87" s="26"/>
      <c r="O87" s="26"/>
      <c r="T87" s="26"/>
      <c r="Y87" s="26"/>
      <c r="AD87" s="26"/>
      <c r="AE87" s="27"/>
      <c r="AF87" s="27"/>
      <c r="AG87" s="27"/>
    </row>
    <row r="88" spans="1:33" ht="21" customHeight="1">
      <c r="A88" s="25"/>
      <c r="B88" s="25"/>
      <c r="C88" s="25"/>
      <c r="D88" s="25"/>
      <c r="E88" s="25"/>
      <c r="J88" s="26"/>
      <c r="O88" s="26"/>
      <c r="T88" s="26"/>
      <c r="Y88" s="26"/>
      <c r="AD88" s="26"/>
      <c r="AE88" s="27"/>
      <c r="AF88" s="27"/>
      <c r="AG88" s="27"/>
    </row>
    <row r="89" spans="1:33" ht="21" customHeight="1">
      <c r="A89" s="25"/>
      <c r="B89" s="25"/>
      <c r="C89" s="25"/>
      <c r="D89" s="25"/>
      <c r="E89" s="25"/>
      <c r="J89" s="26"/>
      <c r="O89" s="26"/>
      <c r="T89" s="26"/>
      <c r="Y89" s="26"/>
      <c r="AD89" s="26"/>
      <c r="AE89" s="27"/>
      <c r="AF89" s="27"/>
      <c r="AG89" s="27"/>
    </row>
    <row r="90" spans="1:33" ht="21" customHeight="1">
      <c r="A90" s="25"/>
      <c r="B90" s="25"/>
      <c r="C90" s="25"/>
      <c r="D90" s="25"/>
      <c r="E90" s="25"/>
      <c r="J90" s="26"/>
      <c r="O90" s="26"/>
      <c r="T90" s="26"/>
      <c r="Y90" s="26"/>
      <c r="AD90" s="26"/>
      <c r="AE90" s="27"/>
      <c r="AF90" s="27"/>
      <c r="AG90" s="27"/>
    </row>
    <row r="91" spans="1:33" ht="21" customHeight="1">
      <c r="A91" s="25"/>
      <c r="B91" s="25"/>
      <c r="C91" s="25"/>
      <c r="D91" s="25"/>
      <c r="E91" s="25"/>
      <c r="J91" s="26"/>
      <c r="O91" s="26"/>
      <c r="T91" s="26"/>
      <c r="Y91" s="26"/>
      <c r="AD91" s="26"/>
      <c r="AE91" s="27"/>
      <c r="AF91" s="27"/>
      <c r="AG91" s="27"/>
    </row>
    <row r="92" spans="1:33" ht="21" customHeight="1">
      <c r="A92" s="25"/>
      <c r="B92" s="25"/>
      <c r="C92" s="25"/>
      <c r="D92" s="25"/>
      <c r="E92" s="25"/>
      <c r="J92" s="26"/>
      <c r="O92" s="26"/>
      <c r="T92" s="26"/>
      <c r="Y92" s="26"/>
      <c r="AD92" s="26"/>
      <c r="AE92" s="27"/>
      <c r="AF92" s="27"/>
      <c r="AG92" s="27"/>
    </row>
    <row r="93" spans="1:33" ht="21" customHeight="1">
      <c r="A93" s="25"/>
      <c r="B93" s="25"/>
      <c r="C93" s="25"/>
      <c r="D93" s="25"/>
      <c r="E93" s="25"/>
      <c r="J93" s="26"/>
      <c r="O93" s="26"/>
      <c r="T93" s="26"/>
      <c r="Y93" s="26"/>
      <c r="AD93" s="26"/>
      <c r="AE93" s="27"/>
      <c r="AF93" s="27"/>
      <c r="AG93" s="27"/>
    </row>
    <row r="94" spans="1:33" ht="21" customHeight="1">
      <c r="A94" s="25"/>
      <c r="B94" s="25"/>
      <c r="C94" s="25"/>
      <c r="D94" s="25"/>
      <c r="E94" s="25"/>
      <c r="J94" s="26"/>
      <c r="O94" s="26"/>
      <c r="T94" s="26"/>
      <c r="Y94" s="26"/>
      <c r="AD94" s="26"/>
      <c r="AE94" s="27"/>
      <c r="AF94" s="27"/>
      <c r="AG94" s="27"/>
    </row>
    <row r="95" spans="1:33" ht="21" customHeight="1">
      <c r="A95" s="25"/>
      <c r="B95" s="25"/>
      <c r="C95" s="25"/>
      <c r="D95" s="25"/>
      <c r="E95" s="25"/>
      <c r="J95" s="26"/>
      <c r="O95" s="26"/>
      <c r="T95" s="26"/>
      <c r="Y95" s="26"/>
      <c r="AD95" s="26"/>
      <c r="AE95" s="27"/>
      <c r="AF95" s="27"/>
      <c r="AG95" s="27"/>
    </row>
    <row r="96" spans="1:33" ht="21" customHeight="1">
      <c r="A96" s="25"/>
      <c r="B96" s="25"/>
      <c r="C96" s="25"/>
      <c r="D96" s="25"/>
      <c r="E96" s="25"/>
      <c r="J96" s="26"/>
      <c r="O96" s="26"/>
      <c r="T96" s="26"/>
      <c r="Y96" s="26"/>
      <c r="AD96" s="26"/>
      <c r="AE96" s="27"/>
      <c r="AF96" s="27"/>
      <c r="AG96" s="27"/>
    </row>
    <row r="97" spans="1:33" ht="21" customHeight="1">
      <c r="A97" s="25"/>
      <c r="B97" s="25"/>
      <c r="C97" s="25"/>
      <c r="D97" s="25"/>
      <c r="E97" s="25"/>
      <c r="J97" s="26"/>
      <c r="O97" s="26"/>
      <c r="T97" s="26"/>
      <c r="Y97" s="26"/>
      <c r="AD97" s="26"/>
      <c r="AE97" s="27"/>
      <c r="AF97" s="27"/>
      <c r="AG97" s="27"/>
    </row>
    <row r="98" spans="1:33" ht="21" customHeight="1">
      <c r="A98" s="25"/>
      <c r="B98" s="25"/>
      <c r="C98" s="25"/>
      <c r="D98" s="25"/>
      <c r="E98" s="25"/>
      <c r="J98" s="26"/>
      <c r="O98" s="26"/>
      <c r="T98" s="26"/>
      <c r="Y98" s="26"/>
      <c r="AD98" s="26"/>
      <c r="AE98" s="27"/>
      <c r="AF98" s="27"/>
      <c r="AG98" s="27"/>
    </row>
    <row r="99" spans="1:33" ht="21" customHeight="1">
      <c r="A99" s="25"/>
      <c r="B99" s="25"/>
      <c r="C99" s="25"/>
      <c r="D99" s="25"/>
      <c r="E99" s="25"/>
      <c r="J99" s="26"/>
      <c r="O99" s="26"/>
      <c r="T99" s="26"/>
      <c r="Y99" s="26"/>
      <c r="AD99" s="26"/>
      <c r="AE99" s="27"/>
      <c r="AF99" s="27"/>
      <c r="AG99" s="27"/>
    </row>
    <row r="100" spans="1:33" ht="21" customHeight="1">
      <c r="A100" s="25"/>
      <c r="B100" s="25"/>
      <c r="C100" s="25"/>
      <c r="D100" s="25"/>
      <c r="E100" s="25"/>
      <c r="J100" s="26"/>
      <c r="O100" s="26"/>
      <c r="T100" s="26"/>
      <c r="Y100" s="26"/>
      <c r="AD100" s="26"/>
      <c r="AE100" s="27"/>
      <c r="AF100" s="27"/>
      <c r="AG100" s="27"/>
    </row>
    <row r="101" spans="1:33" ht="21" customHeight="1">
      <c r="A101" s="25"/>
      <c r="B101" s="25"/>
      <c r="C101" s="25"/>
      <c r="D101" s="25"/>
      <c r="E101" s="25"/>
      <c r="J101" s="26"/>
      <c r="O101" s="26"/>
      <c r="T101" s="26"/>
      <c r="Y101" s="26"/>
      <c r="AD101" s="26"/>
      <c r="AE101" s="27"/>
      <c r="AF101" s="27"/>
      <c r="AG101" s="27"/>
    </row>
    <row r="102" spans="1:33" ht="21" customHeight="1">
      <c r="A102" s="25"/>
      <c r="B102" s="25"/>
      <c r="C102" s="25"/>
      <c r="D102" s="25"/>
      <c r="E102" s="25"/>
      <c r="J102" s="26"/>
      <c r="O102" s="26"/>
      <c r="T102" s="26"/>
      <c r="Y102" s="26"/>
      <c r="AD102" s="26"/>
      <c r="AE102" s="27"/>
      <c r="AF102" s="27"/>
      <c r="AG102" s="27"/>
    </row>
    <row r="103" spans="1:33" ht="21" customHeight="1">
      <c r="A103" s="25"/>
      <c r="B103" s="25"/>
      <c r="C103" s="25"/>
      <c r="D103" s="25"/>
      <c r="E103" s="25"/>
      <c r="J103" s="26"/>
      <c r="O103" s="26"/>
      <c r="T103" s="26"/>
      <c r="Y103" s="26"/>
      <c r="AD103" s="26"/>
      <c r="AE103" s="27"/>
      <c r="AF103" s="27"/>
      <c r="AG103" s="27"/>
    </row>
    <row r="104" spans="1:33" ht="21" customHeight="1">
      <c r="A104" s="25"/>
      <c r="B104" s="25"/>
      <c r="C104" s="25"/>
      <c r="D104" s="25"/>
      <c r="E104" s="25"/>
      <c r="J104" s="26"/>
      <c r="O104" s="26"/>
      <c r="T104" s="26"/>
      <c r="Y104" s="26"/>
      <c r="AD104" s="26"/>
      <c r="AE104" s="27"/>
      <c r="AF104" s="27"/>
      <c r="AG104" s="27"/>
    </row>
    <row r="105" spans="1:33" ht="21" customHeight="1">
      <c r="A105" s="25"/>
      <c r="B105" s="25"/>
      <c r="C105" s="25"/>
      <c r="D105" s="25"/>
      <c r="E105" s="25"/>
      <c r="J105" s="26"/>
      <c r="O105" s="26"/>
      <c r="T105" s="26"/>
      <c r="Y105" s="26"/>
      <c r="AD105" s="26"/>
      <c r="AE105" s="27"/>
      <c r="AF105" s="27"/>
      <c r="AG105" s="27"/>
    </row>
    <row r="106" spans="1:33" ht="21" customHeight="1">
      <c r="A106" s="25"/>
      <c r="B106" s="25"/>
      <c r="C106" s="25"/>
      <c r="D106" s="25"/>
      <c r="E106" s="25"/>
      <c r="J106" s="26"/>
      <c r="O106" s="26"/>
      <c r="T106" s="26"/>
      <c r="Y106" s="26"/>
      <c r="AD106" s="26"/>
      <c r="AE106" s="27"/>
      <c r="AF106" s="27"/>
      <c r="AG106" s="27"/>
    </row>
    <row r="107" spans="1:33" ht="21" customHeight="1">
      <c r="A107" s="25"/>
      <c r="B107" s="25"/>
      <c r="C107" s="25"/>
      <c r="D107" s="25"/>
      <c r="E107" s="25"/>
      <c r="J107" s="26"/>
      <c r="O107" s="26"/>
      <c r="T107" s="26"/>
      <c r="Y107" s="26"/>
      <c r="AD107" s="26"/>
      <c r="AE107" s="27"/>
      <c r="AF107" s="27"/>
      <c r="AG107" s="27"/>
    </row>
    <row r="108" spans="1:33" ht="21" customHeight="1">
      <c r="A108" s="25"/>
      <c r="B108" s="25"/>
      <c r="C108" s="25"/>
      <c r="D108" s="25"/>
      <c r="E108" s="25"/>
      <c r="J108" s="26"/>
      <c r="O108" s="26"/>
      <c r="T108" s="26"/>
      <c r="Y108" s="26"/>
      <c r="AD108" s="26"/>
      <c r="AE108" s="27"/>
      <c r="AF108" s="27"/>
      <c r="AG108" s="27"/>
    </row>
    <row r="109" spans="1:33" ht="21" customHeight="1">
      <c r="A109" s="25"/>
      <c r="B109" s="25"/>
      <c r="C109" s="25"/>
      <c r="D109" s="25"/>
      <c r="E109" s="25"/>
      <c r="J109" s="26"/>
      <c r="O109" s="26"/>
      <c r="T109" s="26"/>
      <c r="Y109" s="26"/>
      <c r="AD109" s="26"/>
      <c r="AE109" s="27"/>
      <c r="AF109" s="27"/>
      <c r="AG109" s="27"/>
    </row>
    <row r="110" spans="1:33" ht="21" customHeight="1">
      <c r="A110" s="25"/>
      <c r="B110" s="25"/>
      <c r="C110" s="25"/>
      <c r="D110" s="25"/>
      <c r="E110" s="25"/>
      <c r="J110" s="26"/>
      <c r="O110" s="26"/>
      <c r="T110" s="26"/>
      <c r="Y110" s="26"/>
      <c r="AD110" s="26"/>
      <c r="AE110" s="27"/>
      <c r="AF110" s="27"/>
      <c r="AG110" s="27"/>
    </row>
    <row r="111" spans="1:33" ht="21" customHeight="1">
      <c r="A111" s="25"/>
      <c r="B111" s="25"/>
      <c r="C111" s="25"/>
      <c r="D111" s="25"/>
      <c r="E111" s="25"/>
      <c r="J111" s="26"/>
      <c r="O111" s="26"/>
      <c r="T111" s="26"/>
      <c r="Y111" s="26"/>
      <c r="AD111" s="26"/>
      <c r="AE111" s="27"/>
      <c r="AF111" s="27"/>
      <c r="AG111" s="27"/>
    </row>
    <row r="112" spans="1:33" ht="21" customHeight="1">
      <c r="A112" s="25"/>
      <c r="B112" s="25"/>
      <c r="C112" s="25"/>
      <c r="D112" s="25"/>
      <c r="E112" s="25"/>
      <c r="J112" s="26"/>
      <c r="O112" s="26"/>
      <c r="T112" s="26"/>
      <c r="Y112" s="26"/>
      <c r="AD112" s="26"/>
      <c r="AE112" s="27"/>
      <c r="AF112" s="27"/>
      <c r="AG112" s="27"/>
    </row>
    <row r="113" spans="1:33" ht="21" customHeight="1">
      <c r="A113" s="25"/>
      <c r="B113" s="25"/>
      <c r="C113" s="25"/>
      <c r="D113" s="25"/>
      <c r="E113" s="25"/>
      <c r="J113" s="26"/>
      <c r="O113" s="26"/>
      <c r="T113" s="26"/>
      <c r="Y113" s="26"/>
      <c r="AD113" s="26"/>
      <c r="AE113" s="27"/>
      <c r="AF113" s="27"/>
      <c r="AG113" s="27"/>
    </row>
    <row r="114" spans="1:33" ht="21" customHeight="1">
      <c r="A114" s="25"/>
      <c r="B114" s="25"/>
      <c r="C114" s="25"/>
      <c r="D114" s="25"/>
      <c r="E114" s="25"/>
      <c r="J114" s="26"/>
      <c r="O114" s="26"/>
      <c r="T114" s="26"/>
      <c r="Y114" s="26"/>
      <c r="AD114" s="26"/>
      <c r="AE114" s="27"/>
      <c r="AF114" s="27"/>
      <c r="AG114" s="27"/>
    </row>
    <row r="115" spans="1:33" ht="21" customHeight="1">
      <c r="A115" s="25"/>
      <c r="B115" s="25"/>
      <c r="C115" s="25"/>
      <c r="D115" s="25"/>
      <c r="E115" s="25"/>
      <c r="J115" s="26"/>
      <c r="O115" s="26"/>
      <c r="T115" s="26"/>
      <c r="Y115" s="26"/>
      <c r="AD115" s="26"/>
      <c r="AE115" s="27"/>
      <c r="AF115" s="27"/>
      <c r="AG115" s="27"/>
    </row>
    <row r="116" spans="1:33" ht="21" customHeight="1">
      <c r="A116" s="25"/>
      <c r="B116" s="25"/>
      <c r="C116" s="25"/>
      <c r="D116" s="25"/>
      <c r="E116" s="25"/>
      <c r="J116" s="26"/>
      <c r="O116" s="26"/>
      <c r="T116" s="26"/>
      <c r="Y116" s="26"/>
      <c r="AD116" s="26"/>
      <c r="AE116" s="27"/>
      <c r="AF116" s="27"/>
      <c r="AG116" s="27"/>
    </row>
    <row r="117" spans="1:33" ht="21" customHeight="1">
      <c r="A117" s="25"/>
      <c r="B117" s="25"/>
      <c r="C117" s="25"/>
      <c r="D117" s="25"/>
      <c r="E117" s="25"/>
      <c r="J117" s="26"/>
      <c r="O117" s="26"/>
      <c r="T117" s="26"/>
      <c r="Y117" s="26"/>
      <c r="AD117" s="26"/>
      <c r="AE117" s="27"/>
      <c r="AF117" s="27"/>
      <c r="AG117" s="27"/>
    </row>
    <row r="118" spans="1:33" ht="21" customHeight="1">
      <c r="A118" s="25"/>
      <c r="B118" s="25"/>
      <c r="C118" s="25"/>
      <c r="D118" s="25"/>
      <c r="E118" s="25"/>
      <c r="J118" s="26"/>
      <c r="O118" s="26"/>
      <c r="T118" s="26"/>
      <c r="Y118" s="26"/>
      <c r="AD118" s="26"/>
      <c r="AE118" s="27"/>
      <c r="AF118" s="27"/>
      <c r="AG118" s="27"/>
    </row>
    <row r="119" spans="1:33" ht="21" customHeight="1">
      <c r="A119" s="25"/>
      <c r="B119" s="25"/>
      <c r="C119" s="25"/>
      <c r="D119" s="25"/>
      <c r="E119" s="25"/>
      <c r="J119" s="26"/>
      <c r="O119" s="26"/>
      <c r="T119" s="26"/>
      <c r="Y119" s="26"/>
      <c r="AD119" s="26"/>
      <c r="AE119" s="27"/>
      <c r="AF119" s="27"/>
      <c r="AG119" s="27"/>
    </row>
    <row r="120" spans="1:33" ht="21" customHeight="1">
      <c r="A120" s="25"/>
      <c r="B120" s="25"/>
      <c r="C120" s="25"/>
      <c r="D120" s="25"/>
      <c r="E120" s="25"/>
      <c r="J120" s="26"/>
      <c r="O120" s="26"/>
      <c r="T120" s="26"/>
      <c r="Y120" s="26"/>
      <c r="AD120" s="26"/>
      <c r="AE120" s="27"/>
      <c r="AF120" s="27"/>
      <c r="AG120" s="27"/>
    </row>
    <row r="121" spans="1:33" ht="21" customHeight="1">
      <c r="A121" s="25"/>
      <c r="B121" s="25"/>
      <c r="C121" s="25"/>
      <c r="D121" s="25"/>
      <c r="E121" s="25"/>
      <c r="J121" s="26"/>
      <c r="O121" s="26"/>
      <c r="T121" s="26"/>
      <c r="Y121" s="26"/>
      <c r="AD121" s="26"/>
      <c r="AE121" s="27"/>
      <c r="AF121" s="27"/>
      <c r="AG121" s="27"/>
    </row>
    <row r="122" spans="1:33" ht="21" customHeight="1">
      <c r="A122" s="25"/>
      <c r="B122" s="25"/>
      <c r="C122" s="25"/>
      <c r="D122" s="25"/>
      <c r="E122" s="25"/>
      <c r="J122" s="26"/>
      <c r="O122" s="26"/>
      <c r="T122" s="26"/>
      <c r="Y122" s="26"/>
      <c r="AD122" s="26"/>
      <c r="AE122" s="27"/>
      <c r="AF122" s="27"/>
      <c r="AG122" s="27"/>
    </row>
    <row r="123" spans="1:33" ht="21" customHeight="1">
      <c r="A123" s="25"/>
      <c r="B123" s="25"/>
      <c r="C123" s="25"/>
      <c r="D123" s="25"/>
      <c r="E123" s="25"/>
      <c r="J123" s="26"/>
      <c r="O123" s="26"/>
      <c r="T123" s="26"/>
      <c r="Y123" s="26"/>
      <c r="AD123" s="26"/>
      <c r="AE123" s="27"/>
      <c r="AF123" s="27"/>
      <c r="AG123" s="27"/>
    </row>
    <row r="124" spans="1:33" ht="21" customHeight="1">
      <c r="A124" s="25"/>
      <c r="B124" s="25"/>
      <c r="C124" s="25"/>
      <c r="D124" s="25"/>
      <c r="E124" s="25"/>
      <c r="J124" s="26"/>
      <c r="O124" s="26"/>
      <c r="T124" s="26"/>
      <c r="Y124" s="26"/>
      <c r="AD124" s="26"/>
      <c r="AE124" s="27"/>
      <c r="AF124" s="27"/>
      <c r="AG124" s="27"/>
    </row>
    <row r="125" spans="1:33" ht="21" customHeight="1">
      <c r="A125" s="25"/>
      <c r="B125" s="25"/>
      <c r="C125" s="25"/>
      <c r="D125" s="25"/>
      <c r="E125" s="25"/>
      <c r="J125" s="26"/>
      <c r="O125" s="26"/>
      <c r="T125" s="26"/>
      <c r="Y125" s="26"/>
      <c r="AD125" s="26"/>
      <c r="AE125" s="27"/>
      <c r="AF125" s="27"/>
      <c r="AG125" s="27"/>
    </row>
    <row r="126" spans="1:33" ht="21" customHeight="1">
      <c r="A126" s="25"/>
      <c r="B126" s="25"/>
      <c r="C126" s="25"/>
      <c r="D126" s="25"/>
      <c r="E126" s="25"/>
      <c r="J126" s="26"/>
      <c r="O126" s="26"/>
      <c r="T126" s="26"/>
      <c r="Y126" s="26"/>
      <c r="AD126" s="26"/>
      <c r="AE126" s="27"/>
      <c r="AF126" s="27"/>
      <c r="AG126" s="27"/>
    </row>
    <row r="127" spans="1:33" ht="21" customHeight="1">
      <c r="A127" s="25"/>
      <c r="B127" s="25"/>
      <c r="C127" s="25"/>
      <c r="D127" s="25"/>
      <c r="E127" s="25"/>
      <c r="J127" s="26"/>
      <c r="O127" s="26"/>
      <c r="T127" s="26"/>
      <c r="Y127" s="26"/>
      <c r="AD127" s="26"/>
      <c r="AE127" s="27"/>
      <c r="AF127" s="27"/>
      <c r="AG127" s="27"/>
    </row>
    <row r="128" spans="1:33" ht="21" customHeight="1">
      <c r="A128" s="25"/>
      <c r="B128" s="25"/>
      <c r="C128" s="25"/>
      <c r="D128" s="25"/>
      <c r="E128" s="25"/>
      <c r="J128" s="26"/>
      <c r="O128" s="26"/>
      <c r="T128" s="26"/>
      <c r="Y128" s="26"/>
      <c r="AD128" s="26"/>
      <c r="AE128" s="27"/>
      <c r="AF128" s="27"/>
      <c r="AG128" s="27"/>
    </row>
    <row r="129" spans="1:33" ht="21" customHeight="1">
      <c r="A129" s="25"/>
      <c r="B129" s="25"/>
      <c r="C129" s="25"/>
      <c r="D129" s="25"/>
      <c r="E129" s="25"/>
      <c r="J129" s="26"/>
      <c r="O129" s="26"/>
      <c r="T129" s="26"/>
      <c r="Y129" s="26"/>
      <c r="AD129" s="26"/>
      <c r="AE129" s="27"/>
      <c r="AF129" s="27"/>
      <c r="AG129" s="27"/>
    </row>
    <row r="130" spans="1:33" ht="21" customHeight="1">
      <c r="A130" s="25"/>
      <c r="B130" s="25"/>
      <c r="C130" s="25"/>
      <c r="D130" s="25"/>
      <c r="E130" s="25"/>
      <c r="J130" s="26"/>
      <c r="O130" s="26"/>
      <c r="T130" s="26"/>
      <c r="Y130" s="26"/>
      <c r="AD130" s="26"/>
      <c r="AE130" s="27"/>
      <c r="AF130" s="27"/>
      <c r="AG130" s="27"/>
    </row>
    <row r="131" spans="1:33" ht="21" customHeight="1">
      <c r="A131" s="25"/>
      <c r="B131" s="25"/>
      <c r="C131" s="25"/>
      <c r="D131" s="25"/>
      <c r="E131" s="25"/>
      <c r="J131" s="26"/>
      <c r="O131" s="26"/>
      <c r="T131" s="26"/>
      <c r="Y131" s="26"/>
      <c r="AD131" s="26"/>
      <c r="AE131" s="27"/>
      <c r="AF131" s="27"/>
      <c r="AG131" s="27"/>
    </row>
    <row r="132" spans="1:33" ht="21" customHeight="1">
      <c r="A132" s="25"/>
      <c r="B132" s="25"/>
      <c r="C132" s="25"/>
      <c r="D132" s="25"/>
      <c r="E132" s="25"/>
      <c r="J132" s="26"/>
      <c r="O132" s="26"/>
      <c r="T132" s="26"/>
      <c r="Y132" s="26"/>
      <c r="AD132" s="26"/>
      <c r="AE132" s="27"/>
      <c r="AF132" s="27"/>
      <c r="AG132" s="27"/>
    </row>
    <row r="133" spans="1:33" ht="21" customHeight="1">
      <c r="A133" s="25"/>
      <c r="B133" s="25"/>
      <c r="C133" s="25"/>
      <c r="D133" s="25"/>
      <c r="E133" s="25"/>
      <c r="J133" s="26"/>
      <c r="O133" s="26"/>
      <c r="T133" s="26"/>
      <c r="Y133" s="26"/>
      <c r="AD133" s="26"/>
      <c r="AE133" s="27"/>
      <c r="AF133" s="27"/>
      <c r="AG133" s="27"/>
    </row>
    <row r="134" spans="1:33" ht="21" customHeight="1">
      <c r="A134" s="25"/>
      <c r="B134" s="25"/>
      <c r="C134" s="25"/>
      <c r="D134" s="25"/>
      <c r="E134" s="25"/>
      <c r="J134" s="26"/>
      <c r="O134" s="26"/>
      <c r="T134" s="26"/>
      <c r="Y134" s="26"/>
      <c r="AD134" s="26"/>
      <c r="AE134" s="27"/>
      <c r="AF134" s="27"/>
      <c r="AG134" s="27"/>
    </row>
    <row r="135" spans="1:33" ht="21" customHeight="1">
      <c r="A135" s="25"/>
      <c r="B135" s="25"/>
      <c r="C135" s="25"/>
      <c r="D135" s="25"/>
      <c r="E135" s="25"/>
      <c r="J135" s="26"/>
      <c r="O135" s="26"/>
      <c r="T135" s="26"/>
      <c r="Y135" s="26"/>
      <c r="AD135" s="26"/>
      <c r="AE135" s="27"/>
      <c r="AF135" s="27"/>
      <c r="AG135" s="27"/>
    </row>
    <row r="136" spans="1:33" ht="21" customHeight="1">
      <c r="A136" s="25"/>
      <c r="B136" s="25"/>
      <c r="C136" s="25"/>
      <c r="D136" s="25"/>
      <c r="E136" s="25"/>
      <c r="J136" s="26"/>
      <c r="O136" s="26"/>
      <c r="T136" s="26"/>
      <c r="Y136" s="26"/>
      <c r="AD136" s="26"/>
      <c r="AE136" s="27"/>
      <c r="AF136" s="27"/>
      <c r="AG136" s="27"/>
    </row>
    <row r="137" spans="1:33" ht="21" customHeight="1">
      <c r="A137" s="25"/>
      <c r="B137" s="25"/>
      <c r="C137" s="25"/>
      <c r="D137" s="25"/>
      <c r="E137" s="25"/>
      <c r="J137" s="26"/>
      <c r="O137" s="26"/>
      <c r="T137" s="26"/>
      <c r="Y137" s="26"/>
      <c r="AD137" s="26"/>
      <c r="AE137" s="27"/>
      <c r="AF137" s="27"/>
      <c r="AG137" s="27"/>
    </row>
    <row r="138" spans="1:33" ht="21" customHeight="1">
      <c r="A138" s="25"/>
      <c r="B138" s="25"/>
      <c r="C138" s="25"/>
      <c r="D138" s="25"/>
      <c r="E138" s="25"/>
      <c r="J138" s="26"/>
      <c r="O138" s="26"/>
      <c r="T138" s="26"/>
      <c r="Y138" s="26"/>
      <c r="AD138" s="26"/>
      <c r="AE138" s="27"/>
      <c r="AF138" s="27"/>
      <c r="AG138" s="27"/>
    </row>
    <row r="139" spans="1:33" ht="21" customHeight="1">
      <c r="A139" s="25"/>
      <c r="B139" s="25"/>
      <c r="C139" s="25"/>
      <c r="D139" s="25"/>
      <c r="E139" s="25"/>
      <c r="J139" s="26"/>
      <c r="O139" s="26"/>
      <c r="T139" s="26"/>
      <c r="Y139" s="26"/>
      <c r="AD139" s="26"/>
      <c r="AE139" s="27"/>
      <c r="AF139" s="27"/>
      <c r="AG139" s="27"/>
    </row>
    <row r="140" spans="1:33" ht="21" customHeight="1">
      <c r="A140" s="25"/>
      <c r="B140" s="25"/>
      <c r="C140" s="25"/>
      <c r="D140" s="25"/>
      <c r="E140" s="25"/>
      <c r="J140" s="26"/>
      <c r="O140" s="26"/>
      <c r="T140" s="26"/>
      <c r="Y140" s="26"/>
      <c r="AD140" s="26"/>
      <c r="AE140" s="27"/>
      <c r="AF140" s="27"/>
      <c r="AG140" s="27"/>
    </row>
    <row r="141" spans="1:33" ht="21" customHeight="1">
      <c r="A141" s="25"/>
      <c r="B141" s="25"/>
      <c r="C141" s="25"/>
      <c r="D141" s="25"/>
      <c r="E141" s="25"/>
      <c r="J141" s="26"/>
      <c r="O141" s="26"/>
      <c r="T141" s="26"/>
      <c r="Y141" s="26"/>
      <c r="AD141" s="26"/>
      <c r="AE141" s="27"/>
      <c r="AF141" s="27"/>
      <c r="AG141" s="27"/>
    </row>
    <row r="142" spans="1:33" ht="21" customHeight="1">
      <c r="A142" s="25"/>
      <c r="B142" s="25"/>
      <c r="C142" s="25"/>
      <c r="D142" s="25"/>
      <c r="E142" s="25"/>
      <c r="J142" s="26"/>
      <c r="O142" s="26"/>
      <c r="T142" s="26"/>
      <c r="Y142" s="26"/>
      <c r="AD142" s="26"/>
      <c r="AE142" s="27"/>
      <c r="AF142" s="27"/>
      <c r="AG142" s="27"/>
    </row>
    <row r="143" spans="1:33" ht="21" customHeight="1">
      <c r="A143" s="25"/>
      <c r="B143" s="25"/>
      <c r="C143" s="25"/>
      <c r="D143" s="25"/>
      <c r="E143" s="25"/>
      <c r="J143" s="26"/>
      <c r="O143" s="26"/>
      <c r="T143" s="26"/>
      <c r="Y143" s="26"/>
      <c r="AD143" s="26"/>
      <c r="AE143" s="27"/>
      <c r="AF143" s="27"/>
      <c r="AG143" s="27"/>
    </row>
    <row r="144" spans="1:33" ht="21" customHeight="1">
      <c r="A144" s="25"/>
      <c r="B144" s="25"/>
      <c r="C144" s="25"/>
      <c r="D144" s="25"/>
      <c r="E144" s="25"/>
      <c r="J144" s="26"/>
      <c r="O144" s="26"/>
      <c r="T144" s="26"/>
      <c r="Y144" s="26"/>
      <c r="AD144" s="26"/>
      <c r="AE144" s="27"/>
      <c r="AF144" s="27"/>
      <c r="AG144" s="27"/>
    </row>
    <row r="145" spans="1:33" ht="21" customHeight="1">
      <c r="A145" s="25"/>
      <c r="B145" s="25"/>
      <c r="C145" s="25"/>
      <c r="D145" s="25"/>
      <c r="E145" s="25"/>
      <c r="J145" s="26"/>
      <c r="O145" s="26"/>
      <c r="T145" s="26"/>
      <c r="Y145" s="26"/>
      <c r="AD145" s="26"/>
      <c r="AE145" s="27"/>
      <c r="AF145" s="27"/>
      <c r="AG145" s="27"/>
    </row>
    <row r="146" spans="1:33" ht="21" customHeight="1">
      <c r="A146" s="25"/>
      <c r="B146" s="25"/>
      <c r="C146" s="25"/>
      <c r="D146" s="25"/>
      <c r="E146" s="25"/>
      <c r="J146" s="26"/>
      <c r="O146" s="26"/>
      <c r="T146" s="26"/>
      <c r="Y146" s="26"/>
      <c r="AD146" s="26"/>
      <c r="AE146" s="27"/>
      <c r="AF146" s="27"/>
      <c r="AG146" s="27"/>
    </row>
    <row r="147" spans="1:33" ht="21" customHeight="1">
      <c r="A147" s="25"/>
      <c r="B147" s="25"/>
      <c r="C147" s="25"/>
      <c r="D147" s="25"/>
      <c r="E147" s="25"/>
      <c r="J147" s="26"/>
      <c r="O147" s="26"/>
      <c r="T147" s="26"/>
      <c r="Y147" s="26"/>
      <c r="AD147" s="26"/>
      <c r="AE147" s="27"/>
      <c r="AF147" s="27"/>
      <c r="AG147" s="27"/>
    </row>
    <row r="148" spans="1:33" ht="21" customHeight="1">
      <c r="A148" s="25"/>
      <c r="B148" s="25"/>
      <c r="C148" s="25"/>
      <c r="D148" s="25"/>
      <c r="E148" s="25"/>
      <c r="J148" s="26"/>
      <c r="O148" s="26"/>
      <c r="T148" s="26"/>
      <c r="Y148" s="26"/>
      <c r="AD148" s="26"/>
      <c r="AE148" s="27"/>
      <c r="AF148" s="27"/>
      <c r="AG148" s="27"/>
    </row>
    <row r="149" spans="1:33" ht="21" customHeight="1">
      <c r="A149" s="25"/>
      <c r="B149" s="25"/>
      <c r="C149" s="25"/>
      <c r="D149" s="25"/>
      <c r="E149" s="25"/>
      <c r="J149" s="26"/>
      <c r="O149" s="26"/>
      <c r="T149" s="26"/>
      <c r="Y149" s="26"/>
      <c r="AD149" s="26"/>
      <c r="AE149" s="27"/>
      <c r="AF149" s="27"/>
      <c r="AG149" s="27"/>
    </row>
    <row r="150" spans="1:33" ht="21" customHeight="1">
      <c r="A150" s="25"/>
      <c r="B150" s="25"/>
      <c r="C150" s="25"/>
      <c r="D150" s="25"/>
      <c r="E150" s="25"/>
      <c r="J150" s="26"/>
      <c r="O150" s="26"/>
      <c r="T150" s="26"/>
      <c r="Y150" s="26"/>
      <c r="AD150" s="26"/>
      <c r="AE150" s="27"/>
      <c r="AF150" s="27"/>
      <c r="AG150" s="27"/>
    </row>
    <row r="151" spans="1:33" ht="21" customHeight="1">
      <c r="A151" s="25"/>
      <c r="B151" s="25"/>
      <c r="C151" s="25"/>
      <c r="D151" s="25"/>
      <c r="E151" s="25"/>
      <c r="J151" s="26"/>
      <c r="O151" s="26"/>
      <c r="T151" s="26"/>
      <c r="Y151" s="26"/>
      <c r="AD151" s="26"/>
      <c r="AE151" s="27"/>
      <c r="AF151" s="27"/>
      <c r="AG151" s="27"/>
    </row>
    <row r="152" spans="1:33" ht="21" customHeight="1">
      <c r="A152" s="25"/>
      <c r="B152" s="25"/>
      <c r="C152" s="25"/>
      <c r="D152" s="25"/>
      <c r="E152" s="25"/>
      <c r="J152" s="26"/>
      <c r="O152" s="26"/>
      <c r="T152" s="26"/>
      <c r="Y152" s="26"/>
      <c r="AD152" s="26"/>
      <c r="AE152" s="27"/>
      <c r="AF152" s="27"/>
      <c r="AG152" s="27"/>
    </row>
    <row r="153" spans="1:33" ht="21" customHeight="1">
      <c r="A153" s="25"/>
      <c r="B153" s="25"/>
      <c r="C153" s="25"/>
      <c r="D153" s="25"/>
      <c r="E153" s="25"/>
      <c r="J153" s="26"/>
      <c r="O153" s="26"/>
      <c r="T153" s="26"/>
      <c r="Y153" s="26"/>
      <c r="AD153" s="26"/>
      <c r="AE153" s="27"/>
      <c r="AF153" s="27"/>
      <c r="AG153" s="27"/>
    </row>
    <row r="154" spans="1:33" ht="21" customHeight="1">
      <c r="A154" s="25"/>
      <c r="B154" s="25"/>
      <c r="C154" s="25"/>
      <c r="D154" s="25"/>
      <c r="E154" s="25"/>
      <c r="J154" s="26"/>
      <c r="O154" s="26"/>
      <c r="T154" s="26"/>
      <c r="Y154" s="26"/>
      <c r="AD154" s="26"/>
      <c r="AE154" s="27"/>
      <c r="AF154" s="27"/>
      <c r="AG154" s="27"/>
    </row>
    <row r="155" spans="1:33" ht="21" customHeight="1">
      <c r="A155" s="25"/>
      <c r="B155" s="25"/>
      <c r="C155" s="25"/>
      <c r="D155" s="25"/>
      <c r="E155" s="25"/>
      <c r="J155" s="26"/>
      <c r="O155" s="26"/>
      <c r="T155" s="26"/>
      <c r="Y155" s="26"/>
      <c r="AD155" s="26"/>
      <c r="AE155" s="27"/>
      <c r="AF155" s="27"/>
      <c r="AG155" s="27"/>
    </row>
    <row r="156" spans="1:33" ht="21" customHeight="1">
      <c r="A156" s="25"/>
      <c r="B156" s="25"/>
      <c r="C156" s="25"/>
      <c r="D156" s="25"/>
      <c r="E156" s="25"/>
      <c r="J156" s="26"/>
      <c r="O156" s="26"/>
      <c r="T156" s="26"/>
      <c r="Y156" s="26"/>
      <c r="AD156" s="26"/>
      <c r="AE156" s="27"/>
      <c r="AF156" s="27"/>
      <c r="AG156" s="27"/>
    </row>
    <row r="157" spans="1:33" ht="21" customHeight="1">
      <c r="A157" s="25"/>
      <c r="B157" s="25"/>
      <c r="C157" s="25"/>
      <c r="D157" s="25"/>
      <c r="E157" s="25"/>
      <c r="J157" s="26"/>
      <c r="O157" s="26"/>
      <c r="T157" s="26"/>
      <c r="Y157" s="26"/>
      <c r="AD157" s="26"/>
      <c r="AE157" s="27"/>
      <c r="AF157" s="27"/>
      <c r="AG157" s="27"/>
    </row>
    <row r="158" spans="1:33" ht="21" customHeight="1">
      <c r="A158" s="25"/>
      <c r="B158" s="25"/>
      <c r="C158" s="25"/>
      <c r="D158" s="25"/>
      <c r="E158" s="25"/>
      <c r="J158" s="26"/>
      <c r="O158" s="26"/>
      <c r="T158" s="26"/>
      <c r="Y158" s="26"/>
      <c r="AD158" s="26"/>
      <c r="AE158" s="27"/>
      <c r="AF158" s="27"/>
      <c r="AG158" s="27"/>
    </row>
    <row r="159" spans="1:33" ht="21" customHeight="1">
      <c r="A159" s="25"/>
      <c r="B159" s="25"/>
      <c r="C159" s="25"/>
      <c r="D159" s="25"/>
      <c r="E159" s="25"/>
      <c r="J159" s="26"/>
      <c r="O159" s="26"/>
      <c r="T159" s="26"/>
      <c r="Y159" s="26"/>
      <c r="AD159" s="26"/>
      <c r="AE159" s="27"/>
      <c r="AF159" s="27"/>
      <c r="AG159" s="27"/>
    </row>
    <row r="160" spans="1:33" ht="21" customHeight="1">
      <c r="A160" s="25"/>
      <c r="B160" s="25"/>
      <c r="C160" s="25"/>
      <c r="D160" s="25"/>
      <c r="E160" s="25"/>
      <c r="J160" s="26"/>
      <c r="O160" s="26"/>
      <c r="T160" s="26"/>
      <c r="Y160" s="26"/>
      <c r="AD160" s="26"/>
      <c r="AE160" s="27"/>
      <c r="AF160" s="27"/>
      <c r="AG160" s="27"/>
    </row>
    <row r="161" spans="1:33" ht="21" customHeight="1">
      <c r="A161" s="25"/>
      <c r="B161" s="25"/>
      <c r="C161" s="25"/>
      <c r="D161" s="25"/>
      <c r="E161" s="25"/>
      <c r="J161" s="26"/>
      <c r="O161" s="26"/>
      <c r="T161" s="26"/>
      <c r="Y161" s="26"/>
      <c r="AD161" s="26"/>
      <c r="AE161" s="27"/>
      <c r="AF161" s="27"/>
      <c r="AG161" s="27"/>
    </row>
    <row r="162" spans="1:33" ht="21" customHeight="1">
      <c r="A162" s="25"/>
      <c r="B162" s="25"/>
      <c r="C162" s="25"/>
      <c r="D162" s="25"/>
      <c r="E162" s="25"/>
      <c r="J162" s="26"/>
      <c r="O162" s="26"/>
      <c r="T162" s="26"/>
      <c r="Y162" s="26"/>
      <c r="AD162" s="26"/>
      <c r="AE162" s="27"/>
      <c r="AF162" s="27"/>
      <c r="AG162" s="27"/>
    </row>
    <row r="163" spans="1:33" ht="21" customHeight="1">
      <c r="A163" s="25"/>
      <c r="B163" s="25"/>
      <c r="C163" s="25"/>
      <c r="D163" s="25"/>
      <c r="E163" s="25"/>
      <c r="J163" s="26"/>
      <c r="O163" s="26"/>
      <c r="T163" s="26"/>
      <c r="Y163" s="26"/>
      <c r="AD163" s="26"/>
      <c r="AE163" s="27"/>
      <c r="AF163" s="27"/>
      <c r="AG163" s="27"/>
    </row>
    <row r="164" spans="1:33" ht="21" customHeight="1">
      <c r="A164" s="25"/>
      <c r="B164" s="25"/>
      <c r="C164" s="25"/>
      <c r="D164" s="25"/>
      <c r="E164" s="25"/>
      <c r="J164" s="26"/>
      <c r="O164" s="26"/>
      <c r="T164" s="26"/>
      <c r="Y164" s="26"/>
      <c r="AD164" s="26"/>
      <c r="AE164" s="27"/>
      <c r="AF164" s="27"/>
      <c r="AG164" s="27"/>
    </row>
    <row r="165" spans="1:33" ht="21" customHeight="1">
      <c r="A165" s="25"/>
      <c r="B165" s="25"/>
      <c r="C165" s="25"/>
      <c r="D165" s="25"/>
      <c r="E165" s="25"/>
      <c r="J165" s="26"/>
      <c r="O165" s="26"/>
      <c r="T165" s="26"/>
      <c r="Y165" s="26"/>
      <c r="AD165" s="26"/>
      <c r="AE165" s="27"/>
      <c r="AF165" s="27"/>
      <c r="AG165" s="27"/>
    </row>
    <row r="166" spans="1:33" ht="21" customHeight="1">
      <c r="A166" s="25"/>
      <c r="B166" s="25"/>
      <c r="C166" s="25"/>
      <c r="D166" s="25"/>
      <c r="E166" s="25"/>
      <c r="J166" s="26"/>
      <c r="O166" s="26"/>
      <c r="T166" s="26"/>
      <c r="Y166" s="26"/>
      <c r="AD166" s="26"/>
      <c r="AE166" s="27"/>
      <c r="AF166" s="27"/>
      <c r="AG166" s="27"/>
    </row>
    <row r="167" spans="1:33" ht="21" customHeight="1">
      <c r="A167" s="25"/>
      <c r="B167" s="25"/>
      <c r="C167" s="25"/>
      <c r="D167" s="25"/>
      <c r="E167" s="25"/>
      <c r="J167" s="26"/>
      <c r="O167" s="26"/>
      <c r="T167" s="26"/>
      <c r="Y167" s="26"/>
      <c r="AD167" s="26"/>
      <c r="AE167" s="27"/>
      <c r="AF167" s="27"/>
      <c r="AG167" s="27"/>
    </row>
    <row r="168" spans="1:33" ht="21" customHeight="1">
      <c r="A168" s="25"/>
      <c r="B168" s="25"/>
      <c r="C168" s="25"/>
      <c r="D168" s="25"/>
      <c r="E168" s="25"/>
      <c r="J168" s="26"/>
      <c r="O168" s="26"/>
      <c r="T168" s="26"/>
      <c r="Y168" s="26"/>
      <c r="AD168" s="26"/>
      <c r="AE168" s="27"/>
      <c r="AF168" s="27"/>
      <c r="AG168" s="27"/>
    </row>
    <row r="169" spans="1:33" ht="21" customHeight="1">
      <c r="A169" s="25"/>
      <c r="B169" s="25"/>
      <c r="C169" s="25"/>
      <c r="D169" s="25"/>
      <c r="E169" s="25"/>
      <c r="J169" s="26"/>
      <c r="O169" s="26"/>
      <c r="T169" s="26"/>
      <c r="Y169" s="26"/>
      <c r="AD169" s="26"/>
      <c r="AE169" s="27"/>
      <c r="AF169" s="27"/>
      <c r="AG169" s="27"/>
    </row>
    <row r="170" spans="1:33" ht="21" customHeight="1">
      <c r="A170" s="25"/>
      <c r="B170" s="25"/>
      <c r="C170" s="25"/>
      <c r="D170" s="25"/>
      <c r="E170" s="25"/>
      <c r="J170" s="26"/>
      <c r="O170" s="26"/>
      <c r="T170" s="26"/>
      <c r="Y170" s="26"/>
      <c r="AD170" s="26"/>
      <c r="AE170" s="27"/>
      <c r="AF170" s="27"/>
      <c r="AG170" s="27"/>
    </row>
    <row r="171" spans="1:33" ht="21" customHeight="1">
      <c r="A171" s="25"/>
      <c r="B171" s="25"/>
      <c r="C171" s="25"/>
      <c r="D171" s="25"/>
      <c r="E171" s="25"/>
      <c r="J171" s="26"/>
      <c r="O171" s="26"/>
      <c r="T171" s="26"/>
      <c r="Y171" s="26"/>
      <c r="AD171" s="26"/>
      <c r="AE171" s="27"/>
      <c r="AF171" s="27"/>
      <c r="AG171" s="27"/>
    </row>
    <row r="172" spans="1:33" ht="21" customHeight="1">
      <c r="A172" s="25"/>
      <c r="B172" s="25"/>
      <c r="C172" s="25"/>
      <c r="D172" s="25"/>
      <c r="E172" s="25"/>
      <c r="J172" s="26"/>
      <c r="O172" s="26"/>
      <c r="T172" s="26"/>
      <c r="Y172" s="26"/>
      <c r="AD172" s="26"/>
      <c r="AE172" s="27"/>
      <c r="AF172" s="27"/>
      <c r="AG172" s="27"/>
    </row>
    <row r="173" spans="1:33" ht="21" customHeight="1">
      <c r="A173" s="25"/>
      <c r="B173" s="25"/>
      <c r="C173" s="25"/>
      <c r="D173" s="25"/>
      <c r="E173" s="25"/>
      <c r="J173" s="26"/>
      <c r="O173" s="26"/>
      <c r="T173" s="26"/>
      <c r="Y173" s="26"/>
      <c r="AD173" s="26"/>
      <c r="AE173" s="27"/>
      <c r="AF173" s="27"/>
      <c r="AG173" s="27"/>
    </row>
    <row r="174" spans="1:33" ht="21" customHeight="1">
      <c r="A174" s="25"/>
      <c r="B174" s="25"/>
      <c r="C174" s="25"/>
      <c r="D174" s="25"/>
      <c r="E174" s="25"/>
      <c r="J174" s="26"/>
      <c r="O174" s="26"/>
      <c r="T174" s="26"/>
      <c r="Y174" s="26"/>
      <c r="AD174" s="26"/>
      <c r="AE174" s="27"/>
      <c r="AF174" s="27"/>
      <c r="AG174" s="27"/>
    </row>
    <row r="175" spans="1:33" ht="21" customHeight="1">
      <c r="A175" s="25"/>
      <c r="B175" s="25"/>
      <c r="C175" s="25"/>
      <c r="D175" s="25"/>
      <c r="E175" s="25"/>
      <c r="J175" s="26"/>
      <c r="O175" s="26"/>
      <c r="T175" s="26"/>
      <c r="Y175" s="26"/>
      <c r="AD175" s="26"/>
      <c r="AE175" s="27"/>
      <c r="AF175" s="27"/>
      <c r="AG175" s="27"/>
    </row>
    <row r="176" spans="1:33" ht="21" customHeight="1">
      <c r="A176" s="25"/>
      <c r="B176" s="25"/>
      <c r="C176" s="25"/>
      <c r="D176" s="25"/>
      <c r="E176" s="25"/>
      <c r="J176" s="26"/>
      <c r="O176" s="26"/>
      <c r="T176" s="26"/>
      <c r="Y176" s="26"/>
      <c r="AD176" s="26"/>
      <c r="AE176" s="27"/>
      <c r="AF176" s="27"/>
      <c r="AG176" s="27"/>
    </row>
    <row r="177" spans="1:33" ht="21" customHeight="1">
      <c r="A177" s="25"/>
      <c r="B177" s="25"/>
      <c r="C177" s="25"/>
      <c r="D177" s="25"/>
      <c r="E177" s="25"/>
      <c r="J177" s="26"/>
      <c r="O177" s="26"/>
      <c r="T177" s="26"/>
      <c r="Y177" s="26"/>
      <c r="AD177" s="26"/>
      <c r="AE177" s="27"/>
      <c r="AF177" s="27"/>
      <c r="AG177" s="27"/>
    </row>
    <row r="178" spans="1:33" ht="21" customHeight="1">
      <c r="A178" s="25"/>
      <c r="B178" s="25"/>
      <c r="C178" s="25"/>
      <c r="D178" s="25"/>
      <c r="E178" s="25"/>
      <c r="J178" s="26"/>
      <c r="O178" s="26"/>
      <c r="T178" s="26"/>
      <c r="Y178" s="26"/>
      <c r="AD178" s="26"/>
      <c r="AE178" s="27"/>
      <c r="AF178" s="27"/>
      <c r="AG178" s="27"/>
    </row>
    <row r="179" spans="1:33" ht="21" customHeight="1">
      <c r="A179" s="25"/>
      <c r="B179" s="25"/>
      <c r="C179" s="25"/>
      <c r="D179" s="25"/>
      <c r="E179" s="25"/>
      <c r="J179" s="26"/>
      <c r="O179" s="26"/>
      <c r="T179" s="26"/>
      <c r="Y179" s="26"/>
      <c r="AD179" s="26"/>
      <c r="AE179" s="27"/>
      <c r="AF179" s="27"/>
      <c r="AG179" s="27"/>
    </row>
    <row r="180" spans="1:33" ht="21" customHeight="1">
      <c r="A180" s="25"/>
      <c r="B180" s="25"/>
      <c r="C180" s="25"/>
      <c r="D180" s="25"/>
      <c r="E180" s="25"/>
      <c r="J180" s="26"/>
      <c r="O180" s="26"/>
      <c r="T180" s="26"/>
      <c r="Y180" s="26"/>
      <c r="AD180" s="26"/>
      <c r="AE180" s="27"/>
      <c r="AF180" s="27"/>
      <c r="AG180" s="27"/>
    </row>
    <row r="181" spans="1:33" ht="21" customHeight="1">
      <c r="A181" s="25"/>
      <c r="B181" s="25"/>
      <c r="C181" s="25"/>
      <c r="D181" s="25"/>
      <c r="E181" s="25"/>
      <c r="J181" s="26"/>
      <c r="O181" s="26"/>
      <c r="T181" s="26"/>
      <c r="Y181" s="26"/>
      <c r="AD181" s="26"/>
      <c r="AE181" s="27"/>
      <c r="AF181" s="27"/>
      <c r="AG181" s="27"/>
    </row>
    <row r="182" spans="1:33" ht="21" customHeight="1">
      <c r="A182" s="25"/>
      <c r="B182" s="25"/>
      <c r="C182" s="25"/>
      <c r="D182" s="25"/>
      <c r="E182" s="25"/>
      <c r="J182" s="26"/>
      <c r="O182" s="26"/>
      <c r="T182" s="26"/>
      <c r="Y182" s="26"/>
      <c r="AD182" s="26"/>
      <c r="AE182" s="27"/>
      <c r="AF182" s="27"/>
      <c r="AG182" s="27"/>
    </row>
    <row r="183" spans="1:33" ht="21" customHeight="1">
      <c r="A183" s="25"/>
      <c r="B183" s="25"/>
      <c r="C183" s="25"/>
      <c r="D183" s="25"/>
      <c r="E183" s="25"/>
      <c r="J183" s="26"/>
      <c r="O183" s="26"/>
      <c r="T183" s="26"/>
      <c r="Y183" s="26"/>
      <c r="AD183" s="26"/>
      <c r="AE183" s="27"/>
      <c r="AF183" s="27"/>
      <c r="AG183" s="27"/>
    </row>
    <row r="184" spans="1:33" ht="21" customHeight="1">
      <c r="A184" s="25"/>
      <c r="B184" s="25"/>
      <c r="C184" s="25"/>
      <c r="D184" s="25"/>
      <c r="E184" s="25"/>
      <c r="J184" s="26"/>
      <c r="O184" s="26"/>
      <c r="T184" s="26"/>
      <c r="Y184" s="26"/>
      <c r="AD184" s="26"/>
      <c r="AE184" s="27"/>
      <c r="AF184" s="27"/>
      <c r="AG184" s="27"/>
    </row>
    <row r="185" spans="1:33" ht="21" customHeight="1">
      <c r="A185" s="25"/>
      <c r="B185" s="25"/>
      <c r="C185" s="25"/>
      <c r="D185" s="25"/>
      <c r="E185" s="25"/>
      <c r="J185" s="26"/>
      <c r="O185" s="26"/>
      <c r="T185" s="26"/>
      <c r="Y185" s="26"/>
      <c r="AD185" s="26"/>
      <c r="AE185" s="27"/>
      <c r="AF185" s="27"/>
      <c r="AG185" s="27"/>
    </row>
    <row r="186" spans="1:33" ht="21" customHeight="1">
      <c r="A186" s="25"/>
      <c r="B186" s="25"/>
      <c r="C186" s="25"/>
      <c r="D186" s="25"/>
      <c r="E186" s="25"/>
      <c r="J186" s="26"/>
      <c r="O186" s="26"/>
      <c r="T186" s="26"/>
      <c r="Y186" s="26"/>
      <c r="AD186" s="26"/>
      <c r="AE186" s="27"/>
      <c r="AF186" s="27"/>
      <c r="AG186" s="27"/>
    </row>
    <row r="187" spans="1:33" ht="21" customHeight="1">
      <c r="A187" s="25"/>
      <c r="B187" s="25"/>
      <c r="C187" s="25"/>
      <c r="D187" s="25"/>
      <c r="E187" s="25"/>
      <c r="J187" s="26"/>
      <c r="O187" s="26"/>
      <c r="T187" s="26"/>
      <c r="Y187" s="26"/>
      <c r="AD187" s="26"/>
      <c r="AE187" s="27"/>
      <c r="AF187" s="27"/>
      <c r="AG187" s="27"/>
    </row>
    <row r="188" spans="1:33" ht="21" customHeight="1">
      <c r="A188" s="25"/>
      <c r="B188" s="25"/>
      <c r="C188" s="25"/>
      <c r="D188" s="25"/>
      <c r="E188" s="25"/>
      <c r="J188" s="26"/>
      <c r="O188" s="26"/>
      <c r="T188" s="26"/>
      <c r="Y188" s="26"/>
      <c r="AD188" s="26"/>
      <c r="AE188" s="27"/>
      <c r="AF188" s="27"/>
      <c r="AG188" s="27"/>
    </row>
    <row r="189" spans="1:33" ht="21" customHeight="1">
      <c r="A189" s="25"/>
      <c r="B189" s="25"/>
      <c r="C189" s="25"/>
      <c r="D189" s="25"/>
      <c r="E189" s="25"/>
      <c r="J189" s="26"/>
      <c r="O189" s="26"/>
      <c r="T189" s="26"/>
      <c r="Y189" s="26"/>
      <c r="AD189" s="26"/>
      <c r="AE189" s="27"/>
      <c r="AF189" s="27"/>
      <c r="AG189" s="27"/>
    </row>
    <row r="190" spans="1:33" ht="21" customHeight="1">
      <c r="A190" s="25"/>
      <c r="B190" s="25"/>
      <c r="C190" s="25"/>
      <c r="D190" s="25"/>
      <c r="E190" s="25"/>
      <c r="J190" s="26"/>
      <c r="O190" s="26"/>
      <c r="T190" s="26"/>
      <c r="Y190" s="26"/>
      <c r="AD190" s="26"/>
      <c r="AE190" s="27"/>
      <c r="AF190" s="27"/>
      <c r="AG190" s="27"/>
    </row>
    <row r="191" spans="1:33" ht="21" customHeight="1">
      <c r="A191" s="25"/>
      <c r="B191" s="25"/>
      <c r="C191" s="25"/>
      <c r="D191" s="25"/>
      <c r="E191" s="25"/>
      <c r="J191" s="26"/>
      <c r="O191" s="26"/>
      <c r="T191" s="26"/>
      <c r="Y191" s="26"/>
      <c r="AD191" s="26"/>
      <c r="AE191" s="27"/>
      <c r="AF191" s="27"/>
      <c r="AG191" s="27"/>
    </row>
    <row r="192" spans="1:33" ht="21" customHeight="1">
      <c r="A192" s="25"/>
      <c r="B192" s="25"/>
      <c r="C192" s="25"/>
      <c r="D192" s="25"/>
      <c r="E192" s="25"/>
      <c r="J192" s="26"/>
      <c r="O192" s="26"/>
      <c r="T192" s="26"/>
      <c r="Y192" s="26"/>
      <c r="AD192" s="26"/>
      <c r="AE192" s="27"/>
      <c r="AF192" s="27"/>
      <c r="AG192" s="27"/>
    </row>
    <row r="193" spans="1:33" ht="21" customHeight="1">
      <c r="A193" s="25"/>
      <c r="B193" s="25"/>
      <c r="C193" s="25"/>
      <c r="D193" s="25"/>
      <c r="E193" s="25"/>
      <c r="J193" s="26"/>
      <c r="O193" s="26"/>
      <c r="T193" s="26"/>
      <c r="Y193" s="26"/>
      <c r="AD193" s="26"/>
      <c r="AE193" s="27"/>
      <c r="AF193" s="27"/>
      <c r="AG193" s="27"/>
    </row>
    <row r="194" spans="1:33" ht="21" customHeight="1">
      <c r="A194" s="25"/>
      <c r="B194" s="25"/>
      <c r="C194" s="25"/>
      <c r="D194" s="25"/>
      <c r="E194" s="25"/>
      <c r="J194" s="26"/>
      <c r="O194" s="26"/>
      <c r="T194" s="26"/>
      <c r="Y194" s="26"/>
      <c r="AD194" s="26"/>
      <c r="AE194" s="27"/>
      <c r="AF194" s="27"/>
      <c r="AG194" s="27"/>
    </row>
    <row r="195" spans="1:33" ht="21" customHeight="1">
      <c r="A195" s="25"/>
      <c r="B195" s="25"/>
      <c r="C195" s="25"/>
      <c r="D195" s="25"/>
      <c r="E195" s="25"/>
      <c r="J195" s="26"/>
      <c r="O195" s="26"/>
      <c r="T195" s="26"/>
      <c r="Y195" s="26"/>
      <c r="AD195" s="26"/>
      <c r="AE195" s="27"/>
      <c r="AF195" s="27"/>
      <c r="AG195" s="27"/>
    </row>
    <row r="196" spans="1:33" ht="21" customHeight="1">
      <c r="A196" s="25"/>
      <c r="B196" s="25"/>
      <c r="C196" s="25"/>
      <c r="D196" s="25"/>
      <c r="E196" s="25"/>
      <c r="J196" s="26"/>
      <c r="O196" s="26"/>
      <c r="T196" s="26"/>
      <c r="Y196" s="26"/>
      <c r="AD196" s="26"/>
      <c r="AE196" s="27"/>
      <c r="AF196" s="27"/>
      <c r="AG196" s="27"/>
    </row>
    <row r="197" spans="1:33" ht="21" customHeight="1">
      <c r="A197" s="25"/>
      <c r="B197" s="25"/>
      <c r="C197" s="25"/>
      <c r="D197" s="25"/>
      <c r="E197" s="25"/>
      <c r="J197" s="26"/>
      <c r="O197" s="26"/>
      <c r="T197" s="26"/>
      <c r="Y197" s="26"/>
      <c r="AD197" s="26"/>
      <c r="AE197" s="27"/>
      <c r="AF197" s="27"/>
      <c r="AG197" s="27"/>
    </row>
    <row r="198" spans="1:33" ht="21" customHeight="1">
      <c r="A198" s="25"/>
      <c r="B198" s="25"/>
      <c r="C198" s="25"/>
      <c r="D198" s="25"/>
      <c r="E198" s="25"/>
      <c r="J198" s="26"/>
      <c r="O198" s="26"/>
      <c r="T198" s="26"/>
      <c r="Y198" s="26"/>
      <c r="AD198" s="26"/>
      <c r="AE198" s="27"/>
      <c r="AF198" s="27"/>
      <c r="AG198" s="27"/>
    </row>
    <row r="199" spans="1:33" ht="21" customHeight="1">
      <c r="A199" s="25"/>
      <c r="B199" s="25"/>
      <c r="C199" s="25"/>
      <c r="D199" s="25"/>
      <c r="E199" s="25"/>
      <c r="J199" s="26"/>
      <c r="O199" s="26"/>
      <c r="T199" s="26"/>
      <c r="Y199" s="26"/>
      <c r="AD199" s="26"/>
      <c r="AE199" s="27"/>
      <c r="AF199" s="27"/>
      <c r="AG199" s="27"/>
    </row>
    <row r="200" spans="1:33" ht="21" customHeight="1">
      <c r="A200" s="25"/>
      <c r="B200" s="25"/>
      <c r="C200" s="25"/>
      <c r="D200" s="25"/>
      <c r="E200" s="25"/>
      <c r="J200" s="26"/>
      <c r="O200" s="26"/>
      <c r="T200" s="26"/>
      <c r="Y200" s="26"/>
      <c r="AD200" s="26"/>
      <c r="AE200" s="27"/>
      <c r="AF200" s="27"/>
      <c r="AG200" s="27"/>
    </row>
    <row r="201" spans="1:33" ht="21" customHeight="1">
      <c r="A201" s="25"/>
      <c r="B201" s="25"/>
      <c r="C201" s="25"/>
      <c r="D201" s="25"/>
      <c r="E201" s="25"/>
      <c r="J201" s="26"/>
      <c r="O201" s="26"/>
      <c r="T201" s="26"/>
      <c r="Y201" s="26"/>
      <c r="AD201" s="26"/>
      <c r="AE201" s="27"/>
      <c r="AF201" s="27"/>
      <c r="AG201" s="27"/>
    </row>
    <row r="202" spans="1:33" ht="21" customHeight="1">
      <c r="A202" s="25"/>
      <c r="B202" s="25"/>
      <c r="C202" s="25"/>
      <c r="D202" s="25"/>
      <c r="E202" s="25"/>
      <c r="J202" s="26"/>
      <c r="O202" s="26"/>
      <c r="T202" s="26"/>
      <c r="Y202" s="26"/>
      <c r="AD202" s="26"/>
      <c r="AE202" s="27"/>
      <c r="AF202" s="27"/>
      <c r="AG202" s="27"/>
    </row>
    <row r="203" spans="1:33" ht="21" customHeight="1">
      <c r="A203" s="25"/>
      <c r="B203" s="25"/>
      <c r="C203" s="25"/>
      <c r="D203" s="25"/>
      <c r="E203" s="25"/>
      <c r="J203" s="26"/>
      <c r="O203" s="26"/>
      <c r="T203" s="26"/>
      <c r="Y203" s="26"/>
      <c r="AD203" s="26"/>
      <c r="AE203" s="27"/>
      <c r="AF203" s="27"/>
      <c r="AG203" s="27"/>
    </row>
    <row r="204" spans="1:33" ht="21" customHeight="1">
      <c r="A204" s="25"/>
      <c r="B204" s="25"/>
      <c r="C204" s="25"/>
      <c r="D204" s="25"/>
      <c r="E204" s="25"/>
      <c r="J204" s="26"/>
      <c r="O204" s="26"/>
      <c r="T204" s="26"/>
      <c r="Y204" s="26"/>
      <c r="AD204" s="26"/>
      <c r="AE204" s="27"/>
      <c r="AF204" s="27"/>
      <c r="AG204" s="27"/>
    </row>
    <row r="205" spans="1:33" ht="21" customHeight="1">
      <c r="A205" s="25"/>
      <c r="B205" s="25"/>
      <c r="C205" s="25"/>
      <c r="D205" s="25"/>
      <c r="E205" s="25"/>
      <c r="J205" s="26"/>
      <c r="O205" s="26"/>
      <c r="T205" s="26"/>
      <c r="Y205" s="26"/>
      <c r="AD205" s="26"/>
      <c r="AE205" s="27"/>
      <c r="AF205" s="27"/>
      <c r="AG205" s="27"/>
    </row>
    <row r="206" spans="1:33" ht="21" customHeight="1">
      <c r="A206" s="25"/>
      <c r="B206" s="25"/>
      <c r="C206" s="25"/>
      <c r="D206" s="25"/>
      <c r="E206" s="25"/>
      <c r="J206" s="26"/>
      <c r="O206" s="26"/>
      <c r="T206" s="26"/>
      <c r="Y206" s="26"/>
      <c r="AD206" s="26"/>
      <c r="AE206" s="27"/>
      <c r="AF206" s="27"/>
      <c r="AG206" s="27"/>
    </row>
    <row r="207" spans="1:33" ht="21" customHeight="1">
      <c r="A207" s="25"/>
      <c r="B207" s="25"/>
      <c r="C207" s="25"/>
      <c r="D207" s="25"/>
      <c r="E207" s="25"/>
      <c r="J207" s="26"/>
      <c r="O207" s="26"/>
      <c r="T207" s="26"/>
      <c r="Y207" s="26"/>
      <c r="AD207" s="26"/>
      <c r="AE207" s="27"/>
      <c r="AF207" s="27"/>
      <c r="AG207" s="27"/>
    </row>
    <row r="208" spans="1:33" ht="21" customHeight="1">
      <c r="A208" s="25"/>
      <c r="B208" s="25"/>
      <c r="C208" s="25"/>
      <c r="D208" s="25"/>
      <c r="E208" s="25"/>
      <c r="J208" s="26"/>
      <c r="O208" s="26"/>
      <c r="T208" s="26"/>
      <c r="Y208" s="26"/>
      <c r="AD208" s="26"/>
      <c r="AE208" s="27"/>
      <c r="AF208" s="27"/>
      <c r="AG208" s="27"/>
    </row>
    <row r="209" spans="1:33" ht="21" customHeight="1">
      <c r="A209" s="25"/>
      <c r="B209" s="25"/>
      <c r="C209" s="25"/>
      <c r="D209" s="25"/>
      <c r="E209" s="25"/>
      <c r="J209" s="26"/>
      <c r="O209" s="26"/>
      <c r="T209" s="26"/>
      <c r="Y209" s="26"/>
      <c r="AD209" s="26"/>
      <c r="AE209" s="27"/>
      <c r="AF209" s="27"/>
      <c r="AG209" s="27"/>
    </row>
    <row r="210" spans="1:33" ht="21" customHeight="1">
      <c r="A210" s="25"/>
      <c r="B210" s="25"/>
      <c r="C210" s="25"/>
      <c r="D210" s="25"/>
      <c r="E210" s="25"/>
      <c r="J210" s="26"/>
      <c r="O210" s="26"/>
      <c r="T210" s="26"/>
      <c r="Y210" s="26"/>
      <c r="AD210" s="26"/>
      <c r="AE210" s="27"/>
      <c r="AF210" s="27"/>
      <c r="AG210" s="27"/>
    </row>
    <row r="211" spans="1:33" ht="21" customHeight="1">
      <c r="A211" s="25"/>
      <c r="B211" s="25"/>
      <c r="C211" s="25"/>
      <c r="D211" s="25"/>
      <c r="E211" s="25"/>
      <c r="J211" s="26"/>
      <c r="O211" s="26"/>
      <c r="T211" s="26"/>
      <c r="Y211" s="26"/>
      <c r="AD211" s="26"/>
      <c r="AE211" s="27"/>
      <c r="AF211" s="27"/>
      <c r="AG211" s="27"/>
    </row>
    <row r="212" spans="1:33" ht="21" customHeight="1">
      <c r="A212" s="25"/>
      <c r="B212" s="25"/>
      <c r="C212" s="25"/>
      <c r="D212" s="25"/>
      <c r="E212" s="25"/>
      <c r="J212" s="26"/>
      <c r="O212" s="26"/>
      <c r="T212" s="26"/>
      <c r="Y212" s="26"/>
      <c r="AD212" s="26"/>
      <c r="AE212" s="27"/>
      <c r="AF212" s="27"/>
      <c r="AG212" s="27"/>
    </row>
    <row r="213" spans="1:33" ht="21" customHeight="1">
      <c r="A213" s="25"/>
      <c r="B213" s="25"/>
      <c r="C213" s="25"/>
      <c r="D213" s="25"/>
      <c r="E213" s="25"/>
      <c r="J213" s="26"/>
      <c r="O213" s="26"/>
      <c r="T213" s="26"/>
      <c r="Y213" s="26"/>
      <c r="AD213" s="26"/>
      <c r="AE213" s="27"/>
      <c r="AF213" s="27"/>
      <c r="AG213" s="27"/>
    </row>
    <row r="214" spans="1:33" ht="21" customHeight="1">
      <c r="A214" s="25"/>
      <c r="B214" s="25"/>
      <c r="C214" s="25"/>
      <c r="D214" s="25"/>
      <c r="E214" s="25"/>
      <c r="J214" s="26"/>
      <c r="O214" s="26"/>
      <c r="T214" s="26"/>
      <c r="Y214" s="26"/>
      <c r="AD214" s="26"/>
      <c r="AE214" s="27"/>
      <c r="AF214" s="27"/>
      <c r="AG214" s="27"/>
    </row>
    <row r="215" spans="1:33" ht="21" customHeight="1">
      <c r="A215" s="25"/>
      <c r="B215" s="25"/>
      <c r="C215" s="25"/>
      <c r="D215" s="25"/>
      <c r="E215" s="25"/>
      <c r="J215" s="26"/>
      <c r="O215" s="26"/>
      <c r="T215" s="26"/>
      <c r="Y215" s="26"/>
      <c r="AD215" s="26"/>
      <c r="AE215" s="27"/>
      <c r="AF215" s="27"/>
      <c r="AG215" s="27"/>
    </row>
    <row r="216" spans="1:33" ht="21" customHeight="1">
      <c r="A216" s="25"/>
      <c r="B216" s="25"/>
      <c r="C216" s="25"/>
      <c r="D216" s="25"/>
      <c r="E216" s="25"/>
      <c r="J216" s="26"/>
      <c r="O216" s="26"/>
      <c r="T216" s="26"/>
      <c r="Y216" s="26"/>
      <c r="AD216" s="26"/>
      <c r="AE216" s="27"/>
      <c r="AF216" s="27"/>
      <c r="AG216" s="27"/>
    </row>
    <row r="217" spans="1:33" ht="21" customHeight="1">
      <c r="A217" s="25"/>
      <c r="B217" s="25"/>
      <c r="C217" s="25"/>
      <c r="D217" s="25"/>
      <c r="E217" s="25"/>
      <c r="J217" s="26"/>
      <c r="O217" s="26"/>
      <c r="T217" s="26"/>
      <c r="Y217" s="26"/>
      <c r="AD217" s="26"/>
      <c r="AE217" s="27"/>
      <c r="AF217" s="27"/>
      <c r="AG217" s="27"/>
    </row>
    <row r="218" spans="1:33" ht="21" customHeight="1">
      <c r="A218" s="25"/>
      <c r="B218" s="25"/>
      <c r="C218" s="25"/>
      <c r="D218" s="25"/>
      <c r="E218" s="25"/>
      <c r="J218" s="26"/>
      <c r="O218" s="26"/>
      <c r="T218" s="26"/>
      <c r="Y218" s="26"/>
      <c r="AD218" s="26"/>
      <c r="AE218" s="27"/>
      <c r="AF218" s="27"/>
      <c r="AG218" s="27"/>
    </row>
    <row r="219" spans="1:33" ht="21" customHeight="1">
      <c r="A219" s="25"/>
      <c r="B219" s="25"/>
      <c r="C219" s="25"/>
      <c r="D219" s="25"/>
      <c r="E219" s="25"/>
      <c r="J219" s="26"/>
      <c r="O219" s="26"/>
      <c r="T219" s="26"/>
      <c r="Y219" s="26"/>
      <c r="AD219" s="26"/>
      <c r="AE219" s="27"/>
      <c r="AF219" s="27"/>
      <c r="AG219" s="27"/>
    </row>
    <row r="220" spans="1:33" ht="21" customHeight="1">
      <c r="A220" s="25"/>
      <c r="B220" s="25"/>
      <c r="C220" s="25"/>
      <c r="D220" s="25"/>
      <c r="E220" s="25"/>
      <c r="J220" s="26"/>
      <c r="O220" s="26"/>
      <c r="T220" s="26"/>
      <c r="Y220" s="26"/>
      <c r="AD220" s="26"/>
      <c r="AE220" s="27"/>
      <c r="AF220" s="27"/>
      <c r="AG220" s="27"/>
    </row>
    <row r="221" spans="1:33" ht="21" customHeight="1">
      <c r="A221" s="25"/>
      <c r="B221" s="25"/>
      <c r="C221" s="25"/>
      <c r="D221" s="25"/>
      <c r="E221" s="25"/>
      <c r="J221" s="26"/>
      <c r="O221" s="26"/>
      <c r="T221" s="26"/>
      <c r="Y221" s="26"/>
      <c r="AD221" s="26"/>
      <c r="AE221" s="27"/>
      <c r="AF221" s="27"/>
      <c r="AG221" s="27"/>
    </row>
    <row r="222" spans="1:33" ht="21" customHeight="1">
      <c r="A222" s="25"/>
      <c r="B222" s="25"/>
      <c r="C222" s="25"/>
      <c r="D222" s="25"/>
      <c r="E222" s="25"/>
      <c r="J222" s="26"/>
      <c r="O222" s="26"/>
      <c r="T222" s="26"/>
      <c r="Y222" s="26"/>
      <c r="AD222" s="26"/>
      <c r="AE222" s="27"/>
      <c r="AF222" s="27"/>
      <c r="AG222" s="27"/>
    </row>
    <row r="223" spans="1:33" ht="21" customHeight="1">
      <c r="A223" s="25"/>
      <c r="B223" s="25"/>
      <c r="C223" s="25"/>
      <c r="D223" s="25"/>
      <c r="E223" s="25"/>
      <c r="J223" s="26"/>
      <c r="O223" s="26"/>
      <c r="T223" s="26"/>
      <c r="Y223" s="26"/>
      <c r="AD223" s="26"/>
      <c r="AE223" s="27"/>
      <c r="AF223" s="27"/>
      <c r="AG223" s="27"/>
    </row>
    <row r="224" spans="1:33" ht="21" customHeight="1">
      <c r="A224" s="25"/>
      <c r="B224" s="25"/>
      <c r="C224" s="25"/>
      <c r="D224" s="25"/>
      <c r="E224" s="25"/>
      <c r="J224" s="26"/>
      <c r="O224" s="26"/>
      <c r="T224" s="26"/>
      <c r="Y224" s="26"/>
      <c r="AD224" s="26"/>
      <c r="AE224" s="27"/>
      <c r="AF224" s="27"/>
      <c r="AG224" s="27"/>
    </row>
    <row r="225" spans="1:33" ht="21" customHeight="1">
      <c r="A225" s="25"/>
      <c r="B225" s="25"/>
      <c r="C225" s="25"/>
      <c r="D225" s="25"/>
      <c r="E225" s="25"/>
      <c r="J225" s="26"/>
      <c r="O225" s="26"/>
      <c r="T225" s="26"/>
      <c r="Y225" s="26"/>
      <c r="AD225" s="26"/>
      <c r="AE225" s="27"/>
      <c r="AF225" s="27"/>
      <c r="AG225" s="27"/>
    </row>
    <row r="226" spans="1:33" ht="21" customHeight="1">
      <c r="A226" s="25"/>
      <c r="B226" s="25"/>
      <c r="C226" s="25"/>
      <c r="D226" s="25"/>
      <c r="E226" s="25"/>
      <c r="J226" s="26"/>
      <c r="O226" s="26"/>
      <c r="T226" s="26"/>
      <c r="Y226" s="26"/>
      <c r="AD226" s="26"/>
      <c r="AE226" s="27"/>
      <c r="AF226" s="27"/>
      <c r="AG226" s="27"/>
    </row>
    <row r="227" spans="1:33" ht="21" customHeight="1">
      <c r="A227" s="25"/>
      <c r="B227" s="25"/>
      <c r="C227" s="25"/>
      <c r="D227" s="25"/>
      <c r="E227" s="25"/>
      <c r="J227" s="26"/>
      <c r="O227" s="26"/>
      <c r="T227" s="26"/>
      <c r="Y227" s="26"/>
      <c r="AD227" s="26"/>
      <c r="AE227" s="27"/>
      <c r="AF227" s="27"/>
      <c r="AG227" s="27"/>
    </row>
    <row r="228" spans="1:33" ht="21" customHeight="1">
      <c r="A228" s="25"/>
      <c r="B228" s="25"/>
      <c r="C228" s="25"/>
      <c r="D228" s="25"/>
      <c r="E228" s="25"/>
      <c r="J228" s="26"/>
      <c r="O228" s="26"/>
      <c r="T228" s="26"/>
      <c r="Y228" s="26"/>
      <c r="AD228" s="26"/>
      <c r="AE228" s="27"/>
      <c r="AF228" s="27"/>
      <c r="AG228" s="27"/>
    </row>
    <row r="229" spans="1:33" ht="21" customHeight="1">
      <c r="A229" s="25"/>
      <c r="B229" s="25"/>
      <c r="C229" s="25"/>
      <c r="D229" s="25"/>
      <c r="E229" s="25"/>
      <c r="J229" s="26"/>
      <c r="O229" s="26"/>
      <c r="T229" s="26"/>
      <c r="Y229" s="26"/>
      <c r="AD229" s="26"/>
      <c r="AE229" s="27"/>
      <c r="AF229" s="27"/>
      <c r="AG229" s="27"/>
    </row>
    <row r="230" spans="1:33" ht="21" customHeight="1">
      <c r="A230" s="25"/>
      <c r="B230" s="25"/>
      <c r="C230" s="25"/>
      <c r="D230" s="25"/>
      <c r="E230" s="25"/>
      <c r="J230" s="26"/>
      <c r="O230" s="26"/>
      <c r="T230" s="26"/>
      <c r="Y230" s="26"/>
      <c r="AD230" s="26"/>
      <c r="AE230" s="27"/>
      <c r="AF230" s="27"/>
      <c r="AG230" s="27"/>
    </row>
    <row r="231" spans="1:33" ht="21" customHeight="1">
      <c r="A231" s="25"/>
      <c r="B231" s="25"/>
      <c r="C231" s="25"/>
      <c r="D231" s="25"/>
      <c r="E231" s="25"/>
      <c r="J231" s="26"/>
      <c r="O231" s="26"/>
      <c r="T231" s="26"/>
      <c r="Y231" s="26"/>
      <c r="AD231" s="26"/>
      <c r="AE231" s="27"/>
      <c r="AF231" s="27"/>
      <c r="AG231" s="27"/>
    </row>
    <row r="232" spans="1:33" ht="21" customHeight="1">
      <c r="A232" s="25"/>
      <c r="B232" s="25"/>
      <c r="C232" s="25"/>
      <c r="D232" s="25"/>
      <c r="E232" s="25"/>
      <c r="J232" s="26"/>
      <c r="O232" s="26"/>
      <c r="T232" s="26"/>
      <c r="Y232" s="26"/>
      <c r="AD232" s="26"/>
      <c r="AE232" s="27"/>
      <c r="AF232" s="27"/>
      <c r="AG232" s="27"/>
    </row>
    <row r="233" spans="1:33" ht="21" customHeight="1">
      <c r="A233" s="25"/>
      <c r="B233" s="25"/>
      <c r="C233" s="25"/>
      <c r="D233" s="25"/>
      <c r="E233" s="25"/>
      <c r="J233" s="26"/>
      <c r="O233" s="26"/>
      <c r="T233" s="26"/>
      <c r="Y233" s="26"/>
      <c r="AD233" s="26"/>
      <c r="AE233" s="27"/>
      <c r="AF233" s="27"/>
      <c r="AG233" s="27"/>
    </row>
    <row r="234" spans="1:33" ht="21" customHeight="1">
      <c r="A234" s="25"/>
      <c r="B234" s="25"/>
      <c r="C234" s="25"/>
      <c r="D234" s="25"/>
      <c r="E234" s="25"/>
      <c r="J234" s="26"/>
      <c r="O234" s="26"/>
      <c r="T234" s="26"/>
      <c r="Y234" s="26"/>
      <c r="AD234" s="26"/>
      <c r="AE234" s="27"/>
      <c r="AF234" s="27"/>
      <c r="AG234" s="27"/>
    </row>
    <row r="235" spans="1:33" ht="21" customHeight="1">
      <c r="A235" s="25"/>
      <c r="B235" s="25"/>
      <c r="C235" s="25"/>
      <c r="D235" s="25"/>
      <c r="E235" s="25"/>
      <c r="J235" s="26"/>
      <c r="O235" s="26"/>
      <c r="T235" s="26"/>
      <c r="Y235" s="26"/>
      <c r="AD235" s="26"/>
      <c r="AE235" s="27"/>
      <c r="AF235" s="27"/>
      <c r="AG235" s="27"/>
    </row>
    <row r="236" spans="1:33" ht="21" customHeight="1">
      <c r="A236" s="25"/>
      <c r="B236" s="25"/>
      <c r="C236" s="25"/>
      <c r="D236" s="25"/>
      <c r="E236" s="25"/>
      <c r="J236" s="26"/>
      <c r="O236" s="26"/>
      <c r="T236" s="26"/>
      <c r="Y236" s="26"/>
      <c r="AD236" s="26"/>
      <c r="AE236" s="27"/>
      <c r="AF236" s="27"/>
      <c r="AG236" s="27"/>
    </row>
    <row r="237" spans="1:33" ht="21" customHeight="1">
      <c r="A237" s="25"/>
      <c r="B237" s="25"/>
      <c r="C237" s="25"/>
      <c r="D237" s="25"/>
      <c r="E237" s="25"/>
      <c r="J237" s="26"/>
      <c r="O237" s="26"/>
      <c r="T237" s="26"/>
      <c r="Y237" s="26"/>
      <c r="AD237" s="26"/>
      <c r="AE237" s="27"/>
      <c r="AF237" s="27"/>
      <c r="AG237" s="27"/>
    </row>
    <row r="238" spans="1:33" ht="21" customHeight="1">
      <c r="A238" s="25"/>
      <c r="B238" s="25"/>
      <c r="C238" s="25"/>
      <c r="D238" s="25"/>
      <c r="E238" s="25"/>
      <c r="J238" s="26"/>
      <c r="O238" s="26"/>
      <c r="T238" s="26"/>
      <c r="Y238" s="26"/>
      <c r="AD238" s="26"/>
      <c r="AE238" s="27"/>
      <c r="AF238" s="27"/>
      <c r="AG238" s="27"/>
    </row>
  </sheetData>
  <mergeCells count="5">
    <mergeCell ref="F1:I1"/>
    <mergeCell ref="K1:N1"/>
    <mergeCell ref="P1:S1"/>
    <mergeCell ref="U1:X1"/>
    <mergeCell ref="Z1:AC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37"/>
  <sheetViews>
    <sheetView workbookViewId="0"/>
  </sheetViews>
  <sheetFormatPr defaultColWidth="14.44140625" defaultRowHeight="15" customHeight="1"/>
  <cols>
    <col min="1" max="1" width="29.44140625" customWidth="1"/>
    <col min="2" max="2" width="8.6640625" customWidth="1"/>
    <col min="3" max="3" width="13.88671875" customWidth="1"/>
    <col min="4" max="4" width="18.5546875" customWidth="1"/>
    <col min="5" max="5" width="19.6640625" customWidth="1"/>
    <col min="6" max="7" width="8.6640625" customWidth="1"/>
    <col min="8" max="8" width="13.109375" customWidth="1"/>
    <col min="9" max="10" width="8.6640625" customWidth="1"/>
    <col min="11" max="12" width="11.6640625" customWidth="1"/>
  </cols>
  <sheetData>
    <row r="1" spans="1:12" ht="33" customHeight="1">
      <c r="A1" s="28" t="s">
        <v>0</v>
      </c>
      <c r="B1" s="29" t="s">
        <v>8</v>
      </c>
      <c r="C1" s="30" t="s">
        <v>9</v>
      </c>
      <c r="D1" s="30" t="s">
        <v>10</v>
      </c>
      <c r="E1" s="31" t="s">
        <v>11</v>
      </c>
      <c r="F1" s="32">
        <v>1</v>
      </c>
      <c r="G1" s="10">
        <v>2</v>
      </c>
      <c r="H1" s="10">
        <v>3</v>
      </c>
      <c r="I1" s="10">
        <v>4</v>
      </c>
      <c r="J1" s="10">
        <v>5</v>
      </c>
      <c r="K1" s="33" t="s">
        <v>66</v>
      </c>
      <c r="L1" s="34" t="s">
        <v>67</v>
      </c>
    </row>
    <row r="2" spans="1:12" ht="33" customHeight="1">
      <c r="A2" s="14" t="s">
        <v>51</v>
      </c>
      <c r="B2" s="14" t="s">
        <v>16</v>
      </c>
      <c r="C2" s="14">
        <v>0</v>
      </c>
      <c r="D2" s="14">
        <f>C2*4</f>
        <v>0</v>
      </c>
      <c r="E2" s="14" t="s">
        <v>17</v>
      </c>
      <c r="F2" s="18">
        <f>VLOOKUP('RIEPIOGO TOTALI'!A2,'RIEPILOGO PARTITE'!A:AG,10,0)</f>
        <v>924</v>
      </c>
      <c r="G2" s="18">
        <f>VLOOKUP('RIEPIOGO TOTALI'!A2,'RIEPILOGO PARTITE'!A:AG,15,0)</f>
        <v>815</v>
      </c>
      <c r="H2" s="18">
        <f>VLOOKUP('RIEPIOGO TOTALI'!A2,'RIEPILOGO PARTITE'!A:AG,20,0)</f>
        <v>0</v>
      </c>
      <c r="I2" s="18">
        <f>VLOOKUP('RIEPIOGO TOTALI'!A2,'RIEPILOGO PARTITE'!A:AG,25,0)</f>
        <v>0</v>
      </c>
      <c r="J2" s="20">
        <f>VLOOKUP('RIEPIOGO TOTALI'!A2,'RIEPILOGO PARTITE'!A:AG,30,0)</f>
        <v>0</v>
      </c>
      <c r="K2" s="35">
        <f>VLOOKUP('RIEPIOGO TOTALI'!A2,'RIEPILOGO PARTITE'!A:AG,33,0)</f>
        <v>1739</v>
      </c>
      <c r="L2" s="36">
        <f t="shared" ref="L2:L37" si="0">_xlfn.RANK.EQ(K2,K$2:K$37)</f>
        <v>35</v>
      </c>
    </row>
    <row r="3" spans="1:12" ht="33" customHeight="1">
      <c r="A3" s="24" t="s">
        <v>64</v>
      </c>
      <c r="B3" s="23" t="s">
        <v>16</v>
      </c>
      <c r="C3" s="23">
        <v>0</v>
      </c>
      <c r="D3" s="23">
        <v>0</v>
      </c>
      <c r="E3" s="23" t="s">
        <v>17</v>
      </c>
      <c r="F3" s="18">
        <f>VLOOKUP('RIEPIOGO TOTALI'!A3,'RIEPILOGO PARTITE'!A:AG,10,0)</f>
        <v>903</v>
      </c>
      <c r="G3" s="18">
        <f>VLOOKUP('RIEPIOGO TOTALI'!A3,'RIEPILOGO PARTITE'!A:AG,15,0)</f>
        <v>976</v>
      </c>
      <c r="H3" s="18">
        <f>VLOOKUP('RIEPIOGO TOTALI'!A3,'RIEPILOGO PARTITE'!A:AG,20,0)</f>
        <v>0</v>
      </c>
      <c r="I3" s="18">
        <f>VLOOKUP('RIEPIOGO TOTALI'!A3,'RIEPILOGO PARTITE'!A:AG,25,0)</f>
        <v>0</v>
      </c>
      <c r="J3" s="20">
        <f>VLOOKUP('RIEPIOGO TOTALI'!A3,'RIEPILOGO PARTITE'!A:AG,30,0)</f>
        <v>0</v>
      </c>
      <c r="K3" s="35">
        <f>VLOOKUP('RIEPIOGO TOTALI'!A3,'RIEPILOGO PARTITE'!A:AG,33,0)</f>
        <v>1879</v>
      </c>
      <c r="L3" s="36">
        <f t="shared" si="0"/>
        <v>34</v>
      </c>
    </row>
    <row r="4" spans="1:12" ht="33" customHeight="1">
      <c r="A4" s="14" t="s">
        <v>21</v>
      </c>
      <c r="B4" s="14" t="s">
        <v>22</v>
      </c>
      <c r="C4" s="14">
        <v>10</v>
      </c>
      <c r="D4" s="14">
        <f t="shared" ref="D4:D36" si="1">C4*4</f>
        <v>40</v>
      </c>
      <c r="E4" s="14" t="s">
        <v>23</v>
      </c>
      <c r="F4" s="18">
        <f>VLOOKUP('RIEPIOGO TOTALI'!A4,'RIEPILOGO PARTITE'!A:AG,10,0)</f>
        <v>892</v>
      </c>
      <c r="G4" s="18">
        <f>VLOOKUP('RIEPIOGO TOTALI'!A4,'RIEPILOGO PARTITE'!A:AG,15,0)</f>
        <v>663</v>
      </c>
      <c r="H4" s="18">
        <f>VLOOKUP('RIEPIOGO TOTALI'!A4,'RIEPILOGO PARTITE'!A:AG,20,0)</f>
        <v>711</v>
      </c>
      <c r="I4" s="18">
        <f>VLOOKUP('RIEPIOGO TOTALI'!A4,'RIEPILOGO PARTITE'!A:AG,25,0)</f>
        <v>811</v>
      </c>
      <c r="J4" s="20">
        <f>VLOOKUP('RIEPIOGO TOTALI'!A4,'RIEPILOGO PARTITE'!A:AG,30,0)</f>
        <v>40</v>
      </c>
      <c r="K4" s="35">
        <f>VLOOKUP('RIEPIOGO TOTALI'!A4,'RIEPILOGO PARTITE'!A:AG,33,0)</f>
        <v>3117</v>
      </c>
      <c r="L4" s="36">
        <f t="shared" si="0"/>
        <v>4</v>
      </c>
    </row>
    <row r="5" spans="1:12" ht="33" customHeight="1">
      <c r="A5" s="14" t="s">
        <v>34</v>
      </c>
      <c r="B5" s="14" t="s">
        <v>16</v>
      </c>
      <c r="C5" s="14">
        <v>0</v>
      </c>
      <c r="D5" s="14">
        <f t="shared" si="1"/>
        <v>0</v>
      </c>
      <c r="E5" s="14" t="s">
        <v>35</v>
      </c>
      <c r="F5" s="18">
        <f>VLOOKUP('RIEPIOGO TOTALI'!A5,'RIEPILOGO PARTITE'!A:AG,10,0)</f>
        <v>890</v>
      </c>
      <c r="G5" s="18">
        <f>VLOOKUP('RIEPIOGO TOTALI'!A5,'RIEPILOGO PARTITE'!A:AG,15,0)</f>
        <v>857</v>
      </c>
      <c r="H5" s="18">
        <f>VLOOKUP('RIEPIOGO TOTALI'!A5,'RIEPILOGO PARTITE'!A:AG,20,0)</f>
        <v>818</v>
      </c>
      <c r="I5" s="18">
        <f>VLOOKUP('RIEPIOGO TOTALI'!A5,'RIEPILOGO PARTITE'!A:AG,25,0)</f>
        <v>0</v>
      </c>
      <c r="J5" s="20">
        <f>VLOOKUP('RIEPIOGO TOTALI'!A5,'RIEPILOGO PARTITE'!A:AG,30,0)</f>
        <v>0</v>
      </c>
      <c r="K5" s="35">
        <f>VLOOKUP('RIEPIOGO TOTALI'!A5,'RIEPILOGO PARTITE'!A:AG,33,0)</f>
        <v>2565</v>
      </c>
      <c r="L5" s="36">
        <f t="shared" si="0"/>
        <v>14</v>
      </c>
    </row>
    <row r="6" spans="1:12" ht="33" customHeight="1">
      <c r="A6" s="14" t="s">
        <v>18</v>
      </c>
      <c r="B6" s="14" t="s">
        <v>16</v>
      </c>
      <c r="C6" s="14">
        <v>0</v>
      </c>
      <c r="D6" s="14">
        <f t="shared" si="1"/>
        <v>0</v>
      </c>
      <c r="E6" s="14" t="s">
        <v>17</v>
      </c>
      <c r="F6" s="18">
        <f>VLOOKUP('RIEPIOGO TOTALI'!A6,'RIEPILOGO PARTITE'!A:AG,10,0)</f>
        <v>884</v>
      </c>
      <c r="G6" s="18">
        <f>VLOOKUP('RIEPIOGO TOTALI'!A6,'RIEPILOGO PARTITE'!A:AG,15,0)</f>
        <v>827</v>
      </c>
      <c r="H6" s="18">
        <f>VLOOKUP('RIEPIOGO TOTALI'!A6,'RIEPILOGO PARTITE'!A:AG,20,0)</f>
        <v>816</v>
      </c>
      <c r="I6" s="18">
        <f>VLOOKUP('RIEPIOGO TOTALI'!A6,'RIEPILOGO PARTITE'!A:AG,25,0)</f>
        <v>0</v>
      </c>
      <c r="J6" s="20">
        <f>VLOOKUP('RIEPIOGO TOTALI'!A6,'RIEPILOGO PARTITE'!A:AG,30,0)</f>
        <v>0</v>
      </c>
      <c r="K6" s="35">
        <f>VLOOKUP('RIEPIOGO TOTALI'!A6,'RIEPILOGO PARTITE'!A:AG,33,0)</f>
        <v>2527</v>
      </c>
      <c r="L6" s="36">
        <f t="shared" si="0"/>
        <v>16</v>
      </c>
    </row>
    <row r="7" spans="1:12" ht="33" customHeight="1">
      <c r="A7" s="14" t="s">
        <v>48</v>
      </c>
      <c r="B7" s="14" t="s">
        <v>20</v>
      </c>
      <c r="C7" s="14">
        <v>5</v>
      </c>
      <c r="D7" s="14">
        <f t="shared" si="1"/>
        <v>20</v>
      </c>
      <c r="E7" s="14" t="s">
        <v>17</v>
      </c>
      <c r="F7" s="18">
        <f>VLOOKUP('RIEPIOGO TOTALI'!A7,'RIEPILOGO PARTITE'!A:AG,10,0)</f>
        <v>873</v>
      </c>
      <c r="G7" s="18">
        <f>VLOOKUP('RIEPIOGO TOTALI'!A7,'RIEPILOGO PARTITE'!A:AG,15,0)</f>
        <v>775</v>
      </c>
      <c r="H7" s="18">
        <f>VLOOKUP('RIEPIOGO TOTALI'!A7,'RIEPILOGO PARTITE'!A:AG,20,0)</f>
        <v>766</v>
      </c>
      <c r="I7" s="18">
        <f>VLOOKUP('RIEPIOGO TOTALI'!A7,'RIEPILOGO PARTITE'!A:AG,25,0)</f>
        <v>20</v>
      </c>
      <c r="J7" s="20">
        <f>VLOOKUP('RIEPIOGO TOTALI'!A7,'RIEPILOGO PARTITE'!A:AG,30,0)</f>
        <v>20</v>
      </c>
      <c r="K7" s="35">
        <f>VLOOKUP('RIEPIOGO TOTALI'!A7,'RIEPILOGO PARTITE'!A:AG,33,0)</f>
        <v>2454</v>
      </c>
      <c r="L7" s="36">
        <f t="shared" si="0"/>
        <v>24</v>
      </c>
    </row>
    <row r="8" spans="1:12" ht="33" customHeight="1">
      <c r="A8" s="14" t="s">
        <v>57</v>
      </c>
      <c r="B8" s="14" t="s">
        <v>22</v>
      </c>
      <c r="C8" s="14">
        <v>10</v>
      </c>
      <c r="D8" s="14">
        <f t="shared" si="1"/>
        <v>40</v>
      </c>
      <c r="E8" s="14" t="s">
        <v>17</v>
      </c>
      <c r="F8" s="18">
        <f>VLOOKUP('RIEPIOGO TOTALI'!A8,'RIEPILOGO PARTITE'!A:AG,10,0)</f>
        <v>868</v>
      </c>
      <c r="G8" s="18">
        <f>VLOOKUP('RIEPIOGO TOTALI'!A8,'RIEPILOGO PARTITE'!A:AG,15,0)</f>
        <v>921</v>
      </c>
      <c r="H8" s="18">
        <f>VLOOKUP('RIEPIOGO TOTALI'!A8,'RIEPILOGO PARTITE'!A:AG,20,0)</f>
        <v>723</v>
      </c>
      <c r="I8" s="18">
        <f>VLOOKUP('RIEPIOGO TOTALI'!A8,'RIEPILOGO PARTITE'!A:AG,25,0)</f>
        <v>722</v>
      </c>
      <c r="J8" s="20">
        <f>VLOOKUP('RIEPIOGO TOTALI'!A8,'RIEPILOGO PARTITE'!A:AG,30,0)</f>
        <v>40</v>
      </c>
      <c r="K8" s="35">
        <f>VLOOKUP('RIEPIOGO TOTALI'!A8,'RIEPILOGO PARTITE'!A:AG,33,0)</f>
        <v>3234</v>
      </c>
      <c r="L8" s="36">
        <f t="shared" si="0"/>
        <v>3</v>
      </c>
    </row>
    <row r="9" spans="1:12" ht="33" customHeight="1">
      <c r="A9" s="14" t="s">
        <v>33</v>
      </c>
      <c r="B9" s="14" t="s">
        <v>16</v>
      </c>
      <c r="C9" s="14">
        <v>0</v>
      </c>
      <c r="D9" s="14">
        <f t="shared" si="1"/>
        <v>0</v>
      </c>
      <c r="E9" s="14" t="s">
        <v>29</v>
      </c>
      <c r="F9" s="18">
        <f>VLOOKUP('RIEPIOGO TOTALI'!A9,'RIEPILOGO PARTITE'!A:AG,10,0)</f>
        <v>851</v>
      </c>
      <c r="G9" s="18">
        <f>VLOOKUP('RIEPIOGO TOTALI'!A9,'RIEPILOGO PARTITE'!A:AG,15,0)</f>
        <v>917</v>
      </c>
      <c r="H9" s="18">
        <f>VLOOKUP('RIEPIOGO TOTALI'!A9,'RIEPILOGO PARTITE'!A:AG,20,0)</f>
        <v>749</v>
      </c>
      <c r="I9" s="18">
        <f>VLOOKUP('RIEPIOGO TOTALI'!A9,'RIEPILOGO PARTITE'!A:AG,25,0)</f>
        <v>775</v>
      </c>
      <c r="J9" s="20">
        <f>VLOOKUP('RIEPIOGO TOTALI'!A9,'RIEPILOGO PARTITE'!A:AG,30,0)</f>
        <v>0</v>
      </c>
      <c r="K9" s="35">
        <f>VLOOKUP('RIEPIOGO TOTALI'!A9,'RIEPILOGO PARTITE'!A:AG,33,0)</f>
        <v>3292</v>
      </c>
      <c r="L9" s="36">
        <f t="shared" si="0"/>
        <v>2</v>
      </c>
    </row>
    <row r="10" spans="1:12" ht="33" customHeight="1">
      <c r="A10" s="14" t="s">
        <v>42</v>
      </c>
      <c r="B10" s="14" t="s">
        <v>43</v>
      </c>
      <c r="C10" s="14">
        <v>25</v>
      </c>
      <c r="D10" s="14">
        <f t="shared" si="1"/>
        <v>100</v>
      </c>
      <c r="E10" s="14" t="s">
        <v>23</v>
      </c>
      <c r="F10" s="18">
        <f>VLOOKUP('RIEPIOGO TOTALI'!A10,'RIEPILOGO PARTITE'!A:AG,10,0)</f>
        <v>850</v>
      </c>
      <c r="G10" s="18">
        <f>VLOOKUP('RIEPIOGO TOTALI'!A10,'RIEPILOGO PARTITE'!A:AG,15,0)</f>
        <v>858</v>
      </c>
      <c r="H10" s="18">
        <f>VLOOKUP('RIEPIOGO TOTALI'!A10,'RIEPILOGO PARTITE'!A:AG,20,0)</f>
        <v>866</v>
      </c>
      <c r="I10" s="18">
        <f>VLOOKUP('RIEPIOGO TOTALI'!A10,'RIEPILOGO PARTITE'!A:AG,25,0)</f>
        <v>100</v>
      </c>
      <c r="J10" s="20">
        <f>VLOOKUP('RIEPIOGO TOTALI'!A10,'RIEPILOGO PARTITE'!A:AG,30,0)</f>
        <v>100</v>
      </c>
      <c r="K10" s="35">
        <f>VLOOKUP('RIEPIOGO TOTALI'!A10,'RIEPILOGO PARTITE'!A:AG,33,0)</f>
        <v>2774</v>
      </c>
      <c r="L10" s="36">
        <f t="shared" si="0"/>
        <v>13</v>
      </c>
    </row>
    <row r="11" spans="1:12" ht="33" customHeight="1">
      <c r="A11" s="14" t="s">
        <v>47</v>
      </c>
      <c r="B11" s="14" t="s">
        <v>22</v>
      </c>
      <c r="C11" s="14">
        <v>10</v>
      </c>
      <c r="D11" s="14">
        <f t="shared" si="1"/>
        <v>40</v>
      </c>
      <c r="E11" s="14" t="s">
        <v>17</v>
      </c>
      <c r="F11" s="18">
        <f>VLOOKUP('RIEPIOGO TOTALI'!A11,'RIEPILOGO PARTITE'!A:AG,10,0)</f>
        <v>836</v>
      </c>
      <c r="G11" s="18">
        <f>VLOOKUP('RIEPIOGO TOTALI'!A11,'RIEPILOGO PARTITE'!A:AG,15,0)</f>
        <v>812</v>
      </c>
      <c r="H11" s="18">
        <f>VLOOKUP('RIEPIOGO TOTALI'!A11,'RIEPILOGO PARTITE'!A:AG,20,0)</f>
        <v>793</v>
      </c>
      <c r="I11" s="18">
        <f>VLOOKUP('RIEPIOGO TOTALI'!A11,'RIEPILOGO PARTITE'!A:AG,25,0)</f>
        <v>40</v>
      </c>
      <c r="J11" s="20">
        <f>VLOOKUP('RIEPIOGO TOTALI'!A11,'RIEPILOGO PARTITE'!A:AG,30,0)</f>
        <v>40</v>
      </c>
      <c r="K11" s="35">
        <f>VLOOKUP('RIEPIOGO TOTALI'!A11,'RIEPILOGO PARTITE'!A:AG,33,0)</f>
        <v>2521</v>
      </c>
      <c r="L11" s="36">
        <f t="shared" si="0"/>
        <v>17</v>
      </c>
    </row>
    <row r="12" spans="1:12" ht="33" customHeight="1">
      <c r="A12" s="14" t="s">
        <v>52</v>
      </c>
      <c r="B12" s="14" t="s">
        <v>16</v>
      </c>
      <c r="C12" s="14">
        <v>0</v>
      </c>
      <c r="D12" s="14">
        <f t="shared" si="1"/>
        <v>0</v>
      </c>
      <c r="E12" s="14" t="s">
        <v>17</v>
      </c>
      <c r="F12" s="18">
        <f>VLOOKUP('RIEPIOGO TOTALI'!A12,'RIEPILOGO PARTITE'!A:AG,10,0)</f>
        <v>827</v>
      </c>
      <c r="G12" s="18">
        <f>VLOOKUP('RIEPIOGO TOTALI'!A12,'RIEPILOGO PARTITE'!A:AG,15,0)</f>
        <v>845</v>
      </c>
      <c r="H12" s="18">
        <f>VLOOKUP('RIEPIOGO TOTALI'!A12,'RIEPILOGO PARTITE'!A:AG,20,0)</f>
        <v>715</v>
      </c>
      <c r="I12" s="18">
        <f>VLOOKUP('RIEPIOGO TOTALI'!A12,'RIEPILOGO PARTITE'!A:AG,25,0)</f>
        <v>882</v>
      </c>
      <c r="J12" s="20">
        <f>VLOOKUP('RIEPIOGO TOTALI'!A12,'RIEPILOGO PARTITE'!A:AG,30,0)</f>
        <v>0</v>
      </c>
      <c r="K12" s="35">
        <f>VLOOKUP('RIEPIOGO TOTALI'!A12,'RIEPILOGO PARTITE'!A:AG,33,0)</f>
        <v>2387</v>
      </c>
      <c r="L12" s="36">
        <f t="shared" si="0"/>
        <v>25</v>
      </c>
    </row>
    <row r="13" spans="1:12" ht="33" customHeight="1">
      <c r="A13" s="14" t="s">
        <v>36</v>
      </c>
      <c r="B13" s="14" t="s">
        <v>16</v>
      </c>
      <c r="C13" s="14">
        <v>0</v>
      </c>
      <c r="D13" s="14">
        <f t="shared" si="1"/>
        <v>0</v>
      </c>
      <c r="E13" s="14" t="s">
        <v>35</v>
      </c>
      <c r="F13" s="18">
        <f>VLOOKUP('RIEPIOGO TOTALI'!A13,'RIEPILOGO PARTITE'!A:AG,10,0)</f>
        <v>823</v>
      </c>
      <c r="G13" s="18">
        <f>VLOOKUP('RIEPIOGO TOTALI'!A13,'RIEPILOGO PARTITE'!A:AG,15,0)</f>
        <v>1017</v>
      </c>
      <c r="H13" s="18">
        <f>VLOOKUP('RIEPIOGO TOTALI'!A13,'RIEPILOGO PARTITE'!A:AG,20,0)</f>
        <v>645</v>
      </c>
      <c r="I13" s="18">
        <f>VLOOKUP('RIEPIOGO TOTALI'!A13,'RIEPILOGO PARTITE'!A:AG,25,0)</f>
        <v>0</v>
      </c>
      <c r="J13" s="20">
        <f>VLOOKUP('RIEPIOGO TOTALI'!A13,'RIEPILOGO PARTITE'!A:AG,30,0)</f>
        <v>0</v>
      </c>
      <c r="K13" s="35">
        <f>VLOOKUP('RIEPIOGO TOTALI'!A13,'RIEPILOGO PARTITE'!A:AG,33,0)</f>
        <v>2485</v>
      </c>
      <c r="L13" s="36">
        <f t="shared" si="0"/>
        <v>21</v>
      </c>
    </row>
    <row r="14" spans="1:12" ht="33" customHeight="1">
      <c r="A14" s="14" t="s">
        <v>62</v>
      </c>
      <c r="B14" s="14" t="s">
        <v>28</v>
      </c>
      <c r="C14" s="14">
        <v>20</v>
      </c>
      <c r="D14" s="14">
        <f t="shared" si="1"/>
        <v>80</v>
      </c>
      <c r="E14" s="14" t="s">
        <v>29</v>
      </c>
      <c r="F14" s="18">
        <f>VLOOKUP('RIEPIOGO TOTALI'!A14,'RIEPILOGO PARTITE'!A:AG,10,0)</f>
        <v>822</v>
      </c>
      <c r="G14" s="18">
        <f>VLOOKUP('RIEPIOGO TOTALI'!A14,'RIEPILOGO PARTITE'!A:AG,15,0)</f>
        <v>699</v>
      </c>
      <c r="H14" s="18">
        <f>VLOOKUP('RIEPIOGO TOTALI'!A14,'RIEPILOGO PARTITE'!A:AG,20,0)</f>
        <v>789</v>
      </c>
      <c r="I14" s="18">
        <f>VLOOKUP('RIEPIOGO TOTALI'!A14,'RIEPILOGO PARTITE'!A:AG,25,0)</f>
        <v>80</v>
      </c>
      <c r="J14" s="20">
        <f>VLOOKUP('RIEPIOGO TOTALI'!A14,'RIEPILOGO PARTITE'!A:AG,30,0)</f>
        <v>80</v>
      </c>
      <c r="K14" s="35">
        <f>VLOOKUP('RIEPIOGO TOTALI'!A14,'RIEPILOGO PARTITE'!A:AG,33,0)</f>
        <v>2470</v>
      </c>
      <c r="L14" s="36">
        <f t="shared" si="0"/>
        <v>23</v>
      </c>
    </row>
    <row r="15" spans="1:12" ht="33" customHeight="1">
      <c r="A15" s="14" t="s">
        <v>37</v>
      </c>
      <c r="B15" s="14" t="s">
        <v>20</v>
      </c>
      <c r="C15" s="14">
        <v>5</v>
      </c>
      <c r="D15" s="14">
        <f t="shared" si="1"/>
        <v>20</v>
      </c>
      <c r="E15" s="14" t="s">
        <v>35</v>
      </c>
      <c r="F15" s="18">
        <f>VLOOKUP('RIEPIOGO TOTALI'!A15,'RIEPILOGO PARTITE'!A:AG,10,0)</f>
        <v>819</v>
      </c>
      <c r="G15" s="18">
        <f>VLOOKUP('RIEPIOGO TOTALI'!A15,'RIEPILOGO PARTITE'!A:AG,15,0)</f>
        <v>793</v>
      </c>
      <c r="H15" s="18">
        <f>VLOOKUP('RIEPIOGO TOTALI'!A15,'RIEPILOGO PARTITE'!A:AG,20,0)</f>
        <v>856</v>
      </c>
      <c r="I15" s="18">
        <f>VLOOKUP('RIEPIOGO TOTALI'!A15,'RIEPILOGO PARTITE'!A:AG,25,0)</f>
        <v>20</v>
      </c>
      <c r="J15" s="20">
        <f>VLOOKUP('RIEPIOGO TOTALI'!A15,'RIEPILOGO PARTITE'!A:AG,30,0)</f>
        <v>20</v>
      </c>
      <c r="K15" s="35">
        <f>VLOOKUP('RIEPIOGO TOTALI'!A15,'RIEPILOGO PARTITE'!A:AG,33,0)</f>
        <v>2508</v>
      </c>
      <c r="L15" s="36">
        <f t="shared" si="0"/>
        <v>18</v>
      </c>
    </row>
    <row r="16" spans="1:12" ht="33" customHeight="1">
      <c r="A16" s="14" t="s">
        <v>19</v>
      </c>
      <c r="B16" s="14" t="s">
        <v>20</v>
      </c>
      <c r="C16" s="14">
        <v>5</v>
      </c>
      <c r="D16" s="14">
        <f t="shared" si="1"/>
        <v>20</v>
      </c>
      <c r="E16" s="14" t="s">
        <v>17</v>
      </c>
      <c r="F16" s="18">
        <f>VLOOKUP('RIEPIOGO TOTALI'!A16,'RIEPILOGO PARTITE'!A:AG,10,0)</f>
        <v>811</v>
      </c>
      <c r="G16" s="18">
        <f>VLOOKUP('RIEPIOGO TOTALI'!A16,'RIEPILOGO PARTITE'!A:AG,15,0)</f>
        <v>886</v>
      </c>
      <c r="H16" s="18">
        <f>VLOOKUP('RIEPIOGO TOTALI'!A16,'RIEPILOGO PARTITE'!A:AG,20,0)</f>
        <v>750</v>
      </c>
      <c r="I16" s="18">
        <f>VLOOKUP('RIEPIOGO TOTALI'!A16,'RIEPILOGO PARTITE'!A:AG,25,0)</f>
        <v>20</v>
      </c>
      <c r="J16" s="20">
        <f>VLOOKUP('RIEPIOGO TOTALI'!A16,'RIEPILOGO PARTITE'!A:AG,30,0)</f>
        <v>20</v>
      </c>
      <c r="K16" s="35">
        <f>VLOOKUP('RIEPIOGO TOTALI'!A16,'RIEPILOGO PARTITE'!A:AG,33,0)</f>
        <v>2487</v>
      </c>
      <c r="L16" s="36">
        <f t="shared" si="0"/>
        <v>19</v>
      </c>
    </row>
    <row r="17" spans="1:12" ht="33" customHeight="1">
      <c r="A17" s="14" t="s">
        <v>54</v>
      </c>
      <c r="B17" s="14" t="s">
        <v>22</v>
      </c>
      <c r="C17" s="14">
        <v>10</v>
      </c>
      <c r="D17" s="14">
        <f t="shared" si="1"/>
        <v>40</v>
      </c>
      <c r="E17" s="14" t="s">
        <v>17</v>
      </c>
      <c r="F17" s="18">
        <f>VLOOKUP('RIEPIOGO TOTALI'!A17,'RIEPILOGO PARTITE'!A:AG,10,0)</f>
        <v>808</v>
      </c>
      <c r="G17" s="18">
        <f>VLOOKUP('RIEPIOGO TOTALI'!A17,'RIEPILOGO PARTITE'!A:AG,15,0)</f>
        <v>871</v>
      </c>
      <c r="H17" s="18">
        <f>VLOOKUP('RIEPIOGO TOTALI'!A17,'RIEPILOGO PARTITE'!A:AG,20,0)</f>
        <v>696</v>
      </c>
      <c r="I17" s="18">
        <f>VLOOKUP('RIEPIOGO TOTALI'!A17,'RIEPILOGO PARTITE'!A:AG,25,0)</f>
        <v>740</v>
      </c>
      <c r="J17" s="20">
        <f>VLOOKUP('RIEPIOGO TOTALI'!A17,'RIEPILOGO PARTITE'!A:AG,30,0)</f>
        <v>40</v>
      </c>
      <c r="K17" s="35">
        <f>VLOOKUP('RIEPIOGO TOTALI'!A17,'RIEPILOGO PARTITE'!A:AG,33,0)</f>
        <v>3115</v>
      </c>
      <c r="L17" s="36">
        <f t="shared" si="0"/>
        <v>5</v>
      </c>
    </row>
    <row r="18" spans="1:12" ht="33" customHeight="1">
      <c r="A18" s="14" t="s">
        <v>15</v>
      </c>
      <c r="B18" s="14" t="s">
        <v>16</v>
      </c>
      <c r="C18" s="14">
        <v>0</v>
      </c>
      <c r="D18" s="14">
        <f t="shared" si="1"/>
        <v>0</v>
      </c>
      <c r="E18" s="14" t="s">
        <v>17</v>
      </c>
      <c r="F18" s="18">
        <f>VLOOKUP('RIEPIOGO TOTALI'!A18,'RIEPILOGO PARTITE'!A:AG,10,0)</f>
        <v>801</v>
      </c>
      <c r="G18" s="18">
        <f>VLOOKUP('RIEPIOGO TOTALI'!A18,'RIEPILOGO PARTITE'!A:AG,15,0)</f>
        <v>733</v>
      </c>
      <c r="H18" s="18">
        <f>VLOOKUP('RIEPIOGO TOTALI'!A18,'RIEPILOGO PARTITE'!A:AG,20,0)</f>
        <v>741</v>
      </c>
      <c r="I18" s="18">
        <f>VLOOKUP('RIEPIOGO TOTALI'!A18,'RIEPILOGO PARTITE'!A:AG,25,0)</f>
        <v>0</v>
      </c>
      <c r="J18" s="20">
        <f>VLOOKUP('RIEPIOGO TOTALI'!A18,'RIEPILOGO PARTITE'!A:AG,30,0)</f>
        <v>0</v>
      </c>
      <c r="K18" s="35">
        <f>VLOOKUP('RIEPIOGO TOTALI'!A18,'RIEPILOGO PARTITE'!A:AG,33,0)</f>
        <v>2275</v>
      </c>
      <c r="L18" s="36">
        <f t="shared" si="0"/>
        <v>28</v>
      </c>
    </row>
    <row r="19" spans="1:12" ht="33" customHeight="1">
      <c r="A19" s="14" t="s">
        <v>41</v>
      </c>
      <c r="B19" s="14" t="s">
        <v>22</v>
      </c>
      <c r="C19" s="14">
        <v>10</v>
      </c>
      <c r="D19" s="14">
        <f t="shared" si="1"/>
        <v>40</v>
      </c>
      <c r="E19" s="14" t="s">
        <v>23</v>
      </c>
      <c r="F19" s="18">
        <f>VLOOKUP('RIEPIOGO TOTALI'!A19,'RIEPILOGO PARTITE'!A:AG,10,0)</f>
        <v>784</v>
      </c>
      <c r="G19" s="18">
        <f>VLOOKUP('RIEPIOGO TOTALI'!A19,'RIEPILOGO PARTITE'!A:AG,15,0)</f>
        <v>888</v>
      </c>
      <c r="H19" s="18">
        <f>VLOOKUP('RIEPIOGO TOTALI'!A19,'RIEPILOGO PARTITE'!A:AG,20,0)</f>
        <v>727</v>
      </c>
      <c r="I19" s="18">
        <f>VLOOKUP('RIEPIOGO TOTALI'!A19,'RIEPILOGO PARTITE'!A:AG,25,0)</f>
        <v>40</v>
      </c>
      <c r="J19" s="20">
        <f>VLOOKUP('RIEPIOGO TOTALI'!A19,'RIEPILOGO PARTITE'!A:AG,30,0)</f>
        <v>40</v>
      </c>
      <c r="K19" s="35">
        <f>VLOOKUP('RIEPIOGO TOTALI'!A19,'RIEPILOGO PARTITE'!A:AG,33,0)</f>
        <v>2479</v>
      </c>
      <c r="L19" s="36">
        <f t="shared" si="0"/>
        <v>22</v>
      </c>
    </row>
    <row r="20" spans="1:12" ht="33" customHeight="1">
      <c r="A20" s="14" t="s">
        <v>53</v>
      </c>
      <c r="B20" s="14" t="s">
        <v>31</v>
      </c>
      <c r="C20" s="14">
        <v>30</v>
      </c>
      <c r="D20" s="14">
        <f t="shared" si="1"/>
        <v>120</v>
      </c>
      <c r="E20" s="14" t="s">
        <v>17</v>
      </c>
      <c r="F20" s="18">
        <f>VLOOKUP('RIEPIOGO TOTALI'!A20,'RIEPILOGO PARTITE'!A:AG,10,0)</f>
        <v>777</v>
      </c>
      <c r="G20" s="18">
        <f>VLOOKUP('RIEPIOGO TOTALI'!A20,'RIEPILOGO PARTITE'!A:AG,15,0)</f>
        <v>715</v>
      </c>
      <c r="H20" s="18">
        <f>VLOOKUP('RIEPIOGO TOTALI'!A20,'RIEPILOGO PARTITE'!A:AG,20,0)</f>
        <v>716</v>
      </c>
      <c r="I20" s="18">
        <f>VLOOKUP('RIEPIOGO TOTALI'!A20,'RIEPILOGO PARTITE'!A:AG,25,0)</f>
        <v>762</v>
      </c>
      <c r="J20" s="20">
        <f>VLOOKUP('RIEPIOGO TOTALI'!A20,'RIEPILOGO PARTITE'!A:AG,30,0)</f>
        <v>120</v>
      </c>
      <c r="K20" s="35">
        <f>VLOOKUP('RIEPIOGO TOTALI'!A20,'RIEPILOGO PARTITE'!A:AG,33,0)</f>
        <v>3090</v>
      </c>
      <c r="L20" s="36">
        <f t="shared" si="0"/>
        <v>6</v>
      </c>
    </row>
    <row r="21" spans="1:12" ht="33" customHeight="1">
      <c r="A21" s="14" t="s">
        <v>55</v>
      </c>
      <c r="B21" s="14" t="s">
        <v>28</v>
      </c>
      <c r="C21" s="23">
        <v>20</v>
      </c>
      <c r="D21" s="14">
        <f t="shared" si="1"/>
        <v>80</v>
      </c>
      <c r="E21" s="14" t="s">
        <v>17</v>
      </c>
      <c r="F21" s="18">
        <f>VLOOKUP('RIEPIOGO TOTALI'!A21,'RIEPILOGO PARTITE'!A:AG,10,0)</f>
        <v>769</v>
      </c>
      <c r="G21" s="18">
        <f>VLOOKUP('RIEPIOGO TOTALI'!A21,'RIEPILOGO PARTITE'!A:AG,15,0)</f>
        <v>825</v>
      </c>
      <c r="H21" s="18">
        <f>VLOOKUP('RIEPIOGO TOTALI'!A21,'RIEPILOGO PARTITE'!A:AG,20,0)</f>
        <v>809</v>
      </c>
      <c r="I21" s="18">
        <f>VLOOKUP('RIEPIOGO TOTALI'!A21,'RIEPILOGO PARTITE'!A:AG,25,0)</f>
        <v>80</v>
      </c>
      <c r="J21" s="20">
        <f>VLOOKUP('RIEPIOGO TOTALI'!A21,'RIEPILOGO PARTITE'!A:AG,30,0)</f>
        <v>80</v>
      </c>
      <c r="K21" s="35">
        <f>VLOOKUP('RIEPIOGO TOTALI'!A21,'RIEPILOGO PARTITE'!A:AG,33,0)</f>
        <v>2563</v>
      </c>
      <c r="L21" s="36">
        <f t="shared" si="0"/>
        <v>15</v>
      </c>
    </row>
    <row r="22" spans="1:12" ht="33" customHeight="1">
      <c r="A22" s="14" t="s">
        <v>49</v>
      </c>
      <c r="B22" s="14" t="s">
        <v>50</v>
      </c>
      <c r="C22" s="14">
        <v>30</v>
      </c>
      <c r="D22" s="14">
        <f t="shared" si="1"/>
        <v>120</v>
      </c>
      <c r="E22" s="14" t="s">
        <v>17</v>
      </c>
      <c r="F22" s="18">
        <f>VLOOKUP('RIEPIOGO TOTALI'!A22,'RIEPILOGO PARTITE'!A:AG,10,0)</f>
        <v>760</v>
      </c>
      <c r="G22" s="18">
        <f>VLOOKUP('RIEPIOGO TOTALI'!A22,'RIEPILOGO PARTITE'!A:AG,15,0)</f>
        <v>727</v>
      </c>
      <c r="H22" s="18">
        <f>VLOOKUP('RIEPIOGO TOTALI'!A22,'RIEPILOGO PARTITE'!A:AG,20,0)</f>
        <v>759</v>
      </c>
      <c r="I22" s="18">
        <f>VLOOKUP('RIEPIOGO TOTALI'!A22,'RIEPILOGO PARTITE'!A:AG,25,0)</f>
        <v>120</v>
      </c>
      <c r="J22" s="20">
        <f>VLOOKUP('RIEPIOGO TOTALI'!A22,'RIEPILOGO PARTITE'!A:AG,30,0)</f>
        <v>120</v>
      </c>
      <c r="K22" s="35">
        <f>VLOOKUP('RIEPIOGO TOTALI'!A22,'RIEPILOGO PARTITE'!A:AG,33,0)</f>
        <v>2486</v>
      </c>
      <c r="L22" s="36">
        <f t="shared" si="0"/>
        <v>20</v>
      </c>
    </row>
    <row r="23" spans="1:12" ht="33" customHeight="1">
      <c r="A23" s="14" t="s">
        <v>60</v>
      </c>
      <c r="B23" s="14" t="s">
        <v>39</v>
      </c>
      <c r="C23" s="14">
        <v>15</v>
      </c>
      <c r="D23" s="14">
        <f t="shared" si="1"/>
        <v>60</v>
      </c>
      <c r="E23" s="14" t="s">
        <v>61</v>
      </c>
      <c r="F23" s="18">
        <f>VLOOKUP('RIEPIOGO TOTALI'!A23,'RIEPILOGO PARTITE'!A:AG,10,0)</f>
        <v>757</v>
      </c>
      <c r="G23" s="18">
        <f>VLOOKUP('RIEPIOGO TOTALI'!A23,'RIEPILOGO PARTITE'!A:AG,15,0)</f>
        <v>719</v>
      </c>
      <c r="H23" s="18">
        <f>VLOOKUP('RIEPIOGO TOTALI'!A23,'RIEPILOGO PARTITE'!A:AG,20,0)</f>
        <v>664</v>
      </c>
      <c r="I23" s="18">
        <f>VLOOKUP('RIEPIOGO TOTALI'!A23,'RIEPILOGO PARTITE'!A:AG,25,0)</f>
        <v>60</v>
      </c>
      <c r="J23" s="20">
        <f>VLOOKUP('RIEPIOGO TOTALI'!A23,'RIEPILOGO PARTITE'!A:AG,30,0)</f>
        <v>60</v>
      </c>
      <c r="K23" s="35">
        <f>VLOOKUP('RIEPIOGO TOTALI'!A23,'RIEPILOGO PARTITE'!A:AG,33,0)</f>
        <v>2260</v>
      </c>
      <c r="L23" s="36">
        <f t="shared" si="0"/>
        <v>29</v>
      </c>
    </row>
    <row r="24" spans="1:12" ht="33" customHeight="1">
      <c r="A24" s="14" t="s">
        <v>27</v>
      </c>
      <c r="B24" s="14" t="s">
        <v>28</v>
      </c>
      <c r="C24" s="14">
        <v>20</v>
      </c>
      <c r="D24" s="14">
        <f t="shared" si="1"/>
        <v>80</v>
      </c>
      <c r="E24" s="14" t="s">
        <v>29</v>
      </c>
      <c r="F24" s="18">
        <f>VLOOKUP('RIEPIOGO TOTALI'!A24,'RIEPILOGO PARTITE'!A:AG,10,0)</f>
        <v>743</v>
      </c>
      <c r="G24" s="18">
        <f>VLOOKUP('RIEPIOGO TOTALI'!A24,'RIEPILOGO PARTITE'!A:AG,15,0)</f>
        <v>693</v>
      </c>
      <c r="H24" s="18">
        <f>VLOOKUP('RIEPIOGO TOTALI'!A24,'RIEPILOGO PARTITE'!A:AG,20,0)</f>
        <v>733</v>
      </c>
      <c r="I24" s="18">
        <f>VLOOKUP('RIEPIOGO TOTALI'!A24,'RIEPILOGO PARTITE'!A:AG,25,0)</f>
        <v>657</v>
      </c>
      <c r="J24" s="20">
        <f>VLOOKUP('RIEPIOGO TOTALI'!A24,'RIEPILOGO PARTITE'!A:AG,30,0)</f>
        <v>80</v>
      </c>
      <c r="K24" s="35">
        <f>VLOOKUP('RIEPIOGO TOTALI'!A24,'RIEPILOGO PARTITE'!A:AG,33,0)</f>
        <v>2906</v>
      </c>
      <c r="L24" s="36">
        <f t="shared" si="0"/>
        <v>11</v>
      </c>
    </row>
    <row r="25" spans="1:12" ht="33" customHeight="1">
      <c r="A25" s="14" t="s">
        <v>58</v>
      </c>
      <c r="B25" s="14" t="s">
        <v>31</v>
      </c>
      <c r="C25" s="14">
        <v>30</v>
      </c>
      <c r="D25" s="14">
        <f t="shared" si="1"/>
        <v>120</v>
      </c>
      <c r="E25" s="14" t="s">
        <v>59</v>
      </c>
      <c r="F25" s="18">
        <f>VLOOKUP('RIEPIOGO TOTALI'!A25,'RIEPILOGO PARTITE'!A:AG,10,0)</f>
        <v>743</v>
      </c>
      <c r="G25" s="18">
        <f>VLOOKUP('RIEPIOGO TOTALI'!A25,'RIEPILOGO PARTITE'!A:AG,15,0)</f>
        <v>690</v>
      </c>
      <c r="H25" s="18">
        <f>VLOOKUP('RIEPIOGO TOTALI'!A25,'RIEPILOGO PARTITE'!A:AG,20,0)</f>
        <v>614</v>
      </c>
      <c r="I25" s="18">
        <f>VLOOKUP('RIEPIOGO TOTALI'!A25,'RIEPILOGO PARTITE'!A:AG,25,0)</f>
        <v>120</v>
      </c>
      <c r="J25" s="20">
        <f>VLOOKUP('RIEPIOGO TOTALI'!A25,'RIEPILOGO PARTITE'!A:AG,30,0)</f>
        <v>120</v>
      </c>
      <c r="K25" s="35">
        <f>VLOOKUP('RIEPIOGO TOTALI'!A25,'RIEPILOGO PARTITE'!A:AG,33,0)</f>
        <v>2287</v>
      </c>
      <c r="L25" s="36">
        <f t="shared" si="0"/>
        <v>27</v>
      </c>
    </row>
    <row r="26" spans="1:12" ht="33" customHeight="1">
      <c r="A26" s="14" t="s">
        <v>56</v>
      </c>
      <c r="B26" s="14" t="s">
        <v>28</v>
      </c>
      <c r="C26" s="14">
        <v>20</v>
      </c>
      <c r="D26" s="14">
        <f t="shared" si="1"/>
        <v>80</v>
      </c>
      <c r="E26" s="14" t="s">
        <v>17</v>
      </c>
      <c r="F26" s="18">
        <f>VLOOKUP('RIEPIOGO TOTALI'!A26,'RIEPILOGO PARTITE'!A:AG,10,0)</f>
        <v>730</v>
      </c>
      <c r="G26" s="18">
        <f>VLOOKUP('RIEPIOGO TOTALI'!A26,'RIEPILOGO PARTITE'!A:AG,15,0)</f>
        <v>762</v>
      </c>
      <c r="H26" s="18">
        <f>VLOOKUP('RIEPIOGO TOTALI'!A26,'RIEPILOGO PARTITE'!A:AG,20,0)</f>
        <v>693</v>
      </c>
      <c r="I26" s="18">
        <f>VLOOKUP('RIEPIOGO TOTALI'!A26,'RIEPILOGO PARTITE'!A:AG,25,0)</f>
        <v>80</v>
      </c>
      <c r="J26" s="20">
        <f>VLOOKUP('RIEPIOGO TOTALI'!A26,'RIEPILOGO PARTITE'!A:AG,30,0)</f>
        <v>80</v>
      </c>
      <c r="K26" s="35">
        <f>VLOOKUP('RIEPIOGO TOTALI'!A26,'RIEPILOGO PARTITE'!A:AG,33,0)</f>
        <v>1945</v>
      </c>
      <c r="L26" s="36">
        <f t="shared" si="0"/>
        <v>33</v>
      </c>
    </row>
    <row r="27" spans="1:12" ht="33" customHeight="1">
      <c r="A27" s="14" t="s">
        <v>26</v>
      </c>
      <c r="B27" s="14" t="s">
        <v>22</v>
      </c>
      <c r="C27" s="14">
        <v>10</v>
      </c>
      <c r="D27" s="14">
        <f t="shared" si="1"/>
        <v>40</v>
      </c>
      <c r="E27" s="14" t="s">
        <v>23</v>
      </c>
      <c r="F27" s="18">
        <f>VLOOKUP('RIEPIOGO TOTALI'!A27,'RIEPILOGO PARTITE'!A:AG,10,0)</f>
        <v>729</v>
      </c>
      <c r="G27" s="18">
        <f>VLOOKUP('RIEPIOGO TOTALI'!A27,'RIEPILOGO PARTITE'!A:AG,15,0)</f>
        <v>748</v>
      </c>
      <c r="H27" s="18">
        <f>VLOOKUP('RIEPIOGO TOTALI'!A27,'RIEPILOGO PARTITE'!A:AG,20,0)</f>
        <v>791</v>
      </c>
      <c r="I27" s="18">
        <f>VLOOKUP('RIEPIOGO TOTALI'!A27,'RIEPILOGO PARTITE'!A:AG,25,0)</f>
        <v>758</v>
      </c>
      <c r="J27" s="20">
        <f>VLOOKUP('RIEPIOGO TOTALI'!A27,'RIEPILOGO PARTITE'!A:AG,30,0)</f>
        <v>40</v>
      </c>
      <c r="K27" s="35">
        <f>VLOOKUP('RIEPIOGO TOTALI'!A27,'RIEPILOGO PARTITE'!A:AG,33,0)</f>
        <v>3066</v>
      </c>
      <c r="L27" s="36">
        <f t="shared" si="0"/>
        <v>7</v>
      </c>
    </row>
    <row r="28" spans="1:12" ht="33" customHeight="1">
      <c r="A28" s="14" t="s">
        <v>40</v>
      </c>
      <c r="B28" s="14" t="s">
        <v>22</v>
      </c>
      <c r="C28" s="14">
        <v>10</v>
      </c>
      <c r="D28" s="14">
        <f t="shared" si="1"/>
        <v>40</v>
      </c>
      <c r="E28" s="14" t="s">
        <v>23</v>
      </c>
      <c r="F28" s="18">
        <f>VLOOKUP('RIEPIOGO TOTALI'!A28,'RIEPILOGO PARTITE'!A:AG,10,0)</f>
        <v>720</v>
      </c>
      <c r="G28" s="18">
        <f>VLOOKUP('RIEPIOGO TOTALI'!A28,'RIEPILOGO PARTITE'!A:AG,15,0)</f>
        <v>650</v>
      </c>
      <c r="H28" s="18">
        <f>VLOOKUP('RIEPIOGO TOTALI'!A28,'RIEPILOGO PARTITE'!A:AG,20,0)</f>
        <v>785</v>
      </c>
      <c r="I28" s="18">
        <f>VLOOKUP('RIEPIOGO TOTALI'!A28,'RIEPILOGO PARTITE'!A:AG,25,0)</f>
        <v>40</v>
      </c>
      <c r="J28" s="20">
        <f>VLOOKUP('RIEPIOGO TOTALI'!A28,'RIEPILOGO PARTITE'!A:AG,30,0)</f>
        <v>40</v>
      </c>
      <c r="K28" s="35">
        <f>VLOOKUP('RIEPIOGO TOTALI'!A28,'RIEPILOGO PARTITE'!A:AG,33,0)</f>
        <v>2235</v>
      </c>
      <c r="L28" s="36">
        <f t="shared" si="0"/>
        <v>30</v>
      </c>
    </row>
    <row r="29" spans="1:12" ht="33" customHeight="1">
      <c r="A29" s="14" t="s">
        <v>63</v>
      </c>
      <c r="B29" s="23" t="s">
        <v>22</v>
      </c>
      <c r="C29" s="14">
        <v>10</v>
      </c>
      <c r="D29" s="14">
        <f t="shared" si="1"/>
        <v>40</v>
      </c>
      <c r="E29" s="14" t="s">
        <v>17</v>
      </c>
      <c r="F29" s="18">
        <f>VLOOKUP('RIEPIOGO TOTALI'!A29,'RIEPILOGO PARTITE'!A:AG,10,0)</f>
        <v>707</v>
      </c>
      <c r="G29" s="18">
        <f>VLOOKUP('RIEPIOGO TOTALI'!A29,'RIEPILOGO PARTITE'!A:AG,15,0)</f>
        <v>709</v>
      </c>
      <c r="H29" s="18">
        <f>VLOOKUP('RIEPIOGO TOTALI'!A29,'RIEPILOGO PARTITE'!A:AG,20,0)</f>
        <v>40</v>
      </c>
      <c r="I29" s="18">
        <f>VLOOKUP('RIEPIOGO TOTALI'!A29,'RIEPILOGO PARTITE'!A:AG,25,0)</f>
        <v>40</v>
      </c>
      <c r="J29" s="20">
        <f>VLOOKUP('RIEPIOGO TOTALI'!A29,'RIEPILOGO PARTITE'!A:AG,30,0)</f>
        <v>40</v>
      </c>
      <c r="K29" s="35">
        <f>VLOOKUP('RIEPIOGO TOTALI'!A29,'RIEPILOGO PARTITE'!A:AG,33,0)</f>
        <v>1536</v>
      </c>
      <c r="L29" s="36">
        <f t="shared" si="0"/>
        <v>36</v>
      </c>
    </row>
    <row r="30" spans="1:12" ht="33" customHeight="1">
      <c r="A30" s="14" t="s">
        <v>24</v>
      </c>
      <c r="B30" s="14" t="s">
        <v>22</v>
      </c>
      <c r="C30" s="14">
        <v>10</v>
      </c>
      <c r="D30" s="14">
        <f t="shared" si="1"/>
        <v>40</v>
      </c>
      <c r="E30" s="14" t="s">
        <v>23</v>
      </c>
      <c r="F30" s="18">
        <f>VLOOKUP('RIEPIOGO TOTALI'!A30,'RIEPILOGO PARTITE'!A:AG,10,0)</f>
        <v>706</v>
      </c>
      <c r="G30" s="18">
        <f>VLOOKUP('RIEPIOGO TOTALI'!A30,'RIEPILOGO PARTITE'!A:AG,15,0)</f>
        <v>742</v>
      </c>
      <c r="H30" s="18">
        <f>VLOOKUP('RIEPIOGO TOTALI'!A30,'RIEPILOGO PARTITE'!A:AG,20,0)</f>
        <v>645</v>
      </c>
      <c r="I30" s="18">
        <f>VLOOKUP('RIEPIOGO TOTALI'!A30,'RIEPILOGO PARTITE'!A:AG,25,0)</f>
        <v>742</v>
      </c>
      <c r="J30" s="20">
        <f>VLOOKUP('RIEPIOGO TOTALI'!A30,'RIEPILOGO PARTITE'!A:AG,30,0)</f>
        <v>40</v>
      </c>
      <c r="K30" s="35">
        <f>VLOOKUP('RIEPIOGO TOTALI'!A30,'RIEPILOGO PARTITE'!A:AG,33,0)</f>
        <v>2875</v>
      </c>
      <c r="L30" s="36">
        <f t="shared" si="0"/>
        <v>12</v>
      </c>
    </row>
    <row r="31" spans="1:12" ht="33" customHeight="1">
      <c r="A31" s="14" t="s">
        <v>44</v>
      </c>
      <c r="B31" s="14" t="s">
        <v>45</v>
      </c>
      <c r="C31" s="14">
        <v>25</v>
      </c>
      <c r="D31" s="14">
        <f t="shared" si="1"/>
        <v>100</v>
      </c>
      <c r="E31" s="14" t="s">
        <v>35</v>
      </c>
      <c r="F31" s="18">
        <f>VLOOKUP('RIEPIOGO TOTALI'!A31,'RIEPILOGO PARTITE'!A:AG,10,0)</f>
        <v>686</v>
      </c>
      <c r="G31" s="18">
        <f>VLOOKUP('RIEPIOGO TOTALI'!A31,'RIEPILOGO PARTITE'!A:AG,15,0)</f>
        <v>713</v>
      </c>
      <c r="H31" s="18">
        <f>VLOOKUP('RIEPIOGO TOTALI'!A31,'RIEPILOGO PARTITE'!A:AG,20,0)</f>
        <v>719</v>
      </c>
      <c r="I31" s="18">
        <f>VLOOKUP('RIEPIOGO TOTALI'!A31,'RIEPILOGO PARTITE'!A:AG,25,0)</f>
        <v>100</v>
      </c>
      <c r="J31" s="20">
        <f>VLOOKUP('RIEPIOGO TOTALI'!A31,'RIEPILOGO PARTITE'!A:AG,30,0)</f>
        <v>100</v>
      </c>
      <c r="K31" s="35">
        <f>VLOOKUP('RIEPIOGO TOTALI'!A31,'RIEPILOGO PARTITE'!A:AG,33,0)</f>
        <v>2318</v>
      </c>
      <c r="L31" s="36">
        <f t="shared" si="0"/>
        <v>26</v>
      </c>
    </row>
    <row r="32" spans="1:12" ht="33" customHeight="1">
      <c r="A32" s="14" t="s">
        <v>30</v>
      </c>
      <c r="B32" s="14" t="s">
        <v>31</v>
      </c>
      <c r="C32" s="14">
        <v>30</v>
      </c>
      <c r="D32" s="14">
        <f t="shared" si="1"/>
        <v>120</v>
      </c>
      <c r="E32" s="14" t="s">
        <v>29</v>
      </c>
      <c r="F32" s="18">
        <f>VLOOKUP('RIEPIOGO TOTALI'!A32,'RIEPILOGO PARTITE'!A:AG,10,0)</f>
        <v>679</v>
      </c>
      <c r="G32" s="18">
        <f>VLOOKUP('RIEPIOGO TOTALI'!A32,'RIEPILOGO PARTITE'!A:AG,15,0)</f>
        <v>784</v>
      </c>
      <c r="H32" s="18">
        <f>VLOOKUP('RIEPIOGO TOTALI'!A32,'RIEPILOGO PARTITE'!A:AG,20,0)</f>
        <v>703</v>
      </c>
      <c r="I32" s="18">
        <f>VLOOKUP('RIEPIOGO TOTALI'!A32,'RIEPILOGO PARTITE'!A:AG,25,0)</f>
        <v>653</v>
      </c>
      <c r="J32" s="20">
        <f>VLOOKUP('RIEPIOGO TOTALI'!A32,'RIEPILOGO PARTITE'!A:AG,30,0)</f>
        <v>120</v>
      </c>
      <c r="K32" s="35">
        <f>VLOOKUP('RIEPIOGO TOTALI'!A32,'RIEPILOGO PARTITE'!A:AG,33,0)</f>
        <v>2939</v>
      </c>
      <c r="L32" s="36">
        <f t="shared" si="0"/>
        <v>9</v>
      </c>
    </row>
    <row r="33" spans="1:12" ht="33" customHeight="1">
      <c r="A33" s="14" t="s">
        <v>32</v>
      </c>
      <c r="B33" s="14" t="s">
        <v>22</v>
      </c>
      <c r="C33" s="14">
        <v>10</v>
      </c>
      <c r="D33" s="14">
        <f t="shared" si="1"/>
        <v>40</v>
      </c>
      <c r="E33" s="14" t="s">
        <v>29</v>
      </c>
      <c r="F33" s="18">
        <f>VLOOKUP('RIEPIOGO TOTALI'!A33,'RIEPILOGO PARTITE'!A:AG,10,0)</f>
        <v>658</v>
      </c>
      <c r="G33" s="18">
        <f>VLOOKUP('RIEPIOGO TOTALI'!A33,'RIEPILOGO PARTITE'!A:AG,15,0)</f>
        <v>782</v>
      </c>
      <c r="H33" s="18">
        <f>VLOOKUP('RIEPIOGO TOTALI'!A33,'RIEPILOGO PARTITE'!A:AG,20,0)</f>
        <v>719</v>
      </c>
      <c r="I33" s="18">
        <f>VLOOKUP('RIEPIOGO TOTALI'!A33,'RIEPILOGO PARTITE'!A:AG,25,0)</f>
        <v>736</v>
      </c>
      <c r="J33" s="20">
        <f>VLOOKUP('RIEPIOGO TOTALI'!A33,'RIEPILOGO PARTITE'!A:AG,30,0)</f>
        <v>40</v>
      </c>
      <c r="K33" s="35">
        <f>VLOOKUP('RIEPIOGO TOTALI'!A33,'RIEPILOGO PARTITE'!A:AG,33,0)</f>
        <v>2935</v>
      </c>
      <c r="L33" s="36">
        <f t="shared" si="0"/>
        <v>10</v>
      </c>
    </row>
    <row r="34" spans="1:12" ht="33" customHeight="1">
      <c r="A34" s="14" t="s">
        <v>46</v>
      </c>
      <c r="B34" s="14" t="s">
        <v>22</v>
      </c>
      <c r="C34" s="14">
        <v>10</v>
      </c>
      <c r="D34" s="14">
        <f t="shared" si="1"/>
        <v>40</v>
      </c>
      <c r="E34" s="14" t="s">
        <v>17</v>
      </c>
      <c r="F34" s="18">
        <f>VLOOKUP('RIEPIOGO TOTALI'!A34,'RIEPILOGO PARTITE'!A:AG,10,0)</f>
        <v>638</v>
      </c>
      <c r="G34" s="18">
        <f>VLOOKUP('RIEPIOGO TOTALI'!A34,'RIEPILOGO PARTITE'!A:AG,15,0)</f>
        <v>713</v>
      </c>
      <c r="H34" s="18">
        <f>VLOOKUP('RIEPIOGO TOTALI'!A34,'RIEPILOGO PARTITE'!A:AG,20,0)</f>
        <v>679</v>
      </c>
      <c r="I34" s="18">
        <v>40</v>
      </c>
      <c r="J34" s="20">
        <f>VLOOKUP('RIEPIOGO TOTALI'!A34,'RIEPILOGO PARTITE'!A:AG,30,0)</f>
        <v>40</v>
      </c>
      <c r="K34" s="35">
        <f>VLOOKUP('RIEPIOGO TOTALI'!A34,'RIEPILOGO PARTITE'!A:AG,33,0)</f>
        <v>2110</v>
      </c>
      <c r="L34" s="36">
        <f t="shared" si="0"/>
        <v>31</v>
      </c>
    </row>
    <row r="35" spans="1:12" ht="33" customHeight="1">
      <c r="A35" s="14" t="s">
        <v>38</v>
      </c>
      <c r="B35" s="14" t="s">
        <v>39</v>
      </c>
      <c r="C35" s="14">
        <v>15</v>
      </c>
      <c r="D35" s="14">
        <f t="shared" si="1"/>
        <v>60</v>
      </c>
      <c r="E35" s="14" t="s">
        <v>35</v>
      </c>
      <c r="F35" s="18">
        <f>VLOOKUP('RIEPIOGO TOTALI'!A35,'RIEPILOGO PARTITE'!A:AG,10,0)</f>
        <v>638</v>
      </c>
      <c r="G35" s="18">
        <f>VLOOKUP('RIEPIOGO TOTALI'!A35,'RIEPILOGO PARTITE'!A:AG,15,0)</f>
        <v>646</v>
      </c>
      <c r="H35" s="18">
        <f>VLOOKUP('RIEPIOGO TOTALI'!A35,'RIEPILOGO PARTITE'!A:AG,20,0)</f>
        <v>612</v>
      </c>
      <c r="I35" s="18">
        <f>VLOOKUP('RIEPIOGO TOTALI'!A35,'RIEPILOGO PARTITE'!A:AG,25,0)</f>
        <v>60</v>
      </c>
      <c r="J35" s="20">
        <f>VLOOKUP('RIEPIOGO TOTALI'!A35,'RIEPILOGO PARTITE'!A:AG,30,0)</f>
        <v>60</v>
      </c>
      <c r="K35" s="35">
        <f>VLOOKUP('RIEPIOGO TOTALI'!A35,'RIEPILOGO PARTITE'!A:AG,33,0)</f>
        <v>2016</v>
      </c>
      <c r="L35" s="36">
        <f t="shared" si="0"/>
        <v>32</v>
      </c>
    </row>
    <row r="36" spans="1:12" ht="33" customHeight="1">
      <c r="A36" s="14" t="s">
        <v>25</v>
      </c>
      <c r="B36" s="14" t="s">
        <v>22</v>
      </c>
      <c r="C36" s="14">
        <v>10</v>
      </c>
      <c r="D36" s="14">
        <f t="shared" si="1"/>
        <v>40</v>
      </c>
      <c r="E36" s="14" t="s">
        <v>23</v>
      </c>
      <c r="F36" s="18">
        <f>VLOOKUP('RIEPIOGO TOTALI'!A36,'RIEPILOGO PARTITE'!A:AG,10,0)</f>
        <v>814</v>
      </c>
      <c r="G36" s="18">
        <f>VLOOKUP('RIEPIOGO TOTALI'!A36,'RIEPILOGO PARTITE'!A:AG,15,0)</f>
        <v>759</v>
      </c>
      <c r="H36" s="18">
        <f>VLOOKUP('RIEPIOGO TOTALI'!A36,'RIEPILOGO PARTITE'!A:AG,20,0)</f>
        <v>688</v>
      </c>
      <c r="I36" s="18">
        <f>VLOOKUP('RIEPIOGO TOTALI'!A36,'RIEPILOGO PARTITE'!A:AG,25,0)</f>
        <v>721</v>
      </c>
      <c r="J36" s="20">
        <f>VLOOKUP('RIEPIOGO TOTALI'!A36,'RIEPILOGO PARTITE'!A:AG,30,0)</f>
        <v>40</v>
      </c>
      <c r="K36" s="35">
        <f>VLOOKUP('RIEPIOGO TOTALI'!A36,'RIEPILOGO PARTITE'!A:AG,33,0)</f>
        <v>3022</v>
      </c>
      <c r="L36" s="36">
        <f t="shared" si="0"/>
        <v>8</v>
      </c>
    </row>
    <row r="37" spans="1:12" ht="33" customHeight="1">
      <c r="A37" s="23" t="s">
        <v>65</v>
      </c>
      <c r="B37" s="23" t="s">
        <v>20</v>
      </c>
      <c r="C37" s="23">
        <v>5</v>
      </c>
      <c r="D37" s="23">
        <v>20</v>
      </c>
      <c r="E37" s="23" t="s">
        <v>29</v>
      </c>
      <c r="F37" s="18">
        <f>VLOOKUP('RIEPIOGO TOTALI'!A37,'RIEPILOGO PARTITE'!A:AG,10,0)</f>
        <v>790</v>
      </c>
      <c r="G37" s="18">
        <f>VLOOKUP('RIEPIOGO TOTALI'!A37,'RIEPILOGO PARTITE'!A:AG,15,0)</f>
        <v>851</v>
      </c>
      <c r="H37" s="18">
        <f>VLOOKUP('RIEPIOGO TOTALI'!A37,'RIEPILOGO PARTITE'!A:AG,20,0)</f>
        <v>826</v>
      </c>
      <c r="I37" s="18">
        <f>VLOOKUP('RIEPIOGO TOTALI'!A37,'RIEPILOGO PARTITE'!A:AG,25,0)</f>
        <v>821</v>
      </c>
      <c r="J37" s="20">
        <f>VLOOKUP('RIEPIOGO TOTALI'!A37,'RIEPILOGO PARTITE'!A:AG,30,0)</f>
        <v>20</v>
      </c>
      <c r="K37" s="35">
        <f>VLOOKUP('RIEPIOGO TOTALI'!A37,'RIEPILOGO PARTITE'!A:AG,33,0)</f>
        <v>3308</v>
      </c>
      <c r="L37" s="36">
        <f t="shared" si="0"/>
        <v>1</v>
      </c>
    </row>
    <row r="38" spans="1:12" ht="33" customHeight="1">
      <c r="A38" s="25"/>
      <c r="B38" s="25"/>
      <c r="C38" s="25"/>
      <c r="D38" s="25"/>
      <c r="E38" s="25"/>
      <c r="J38" s="37"/>
      <c r="K38" s="38"/>
      <c r="L38" s="39"/>
    </row>
    <row r="39" spans="1:12" ht="33" customHeight="1">
      <c r="A39" s="25"/>
      <c r="B39" s="25"/>
      <c r="C39" s="25"/>
      <c r="D39" s="25"/>
      <c r="E39" s="25"/>
      <c r="J39" s="37"/>
      <c r="K39" s="38"/>
      <c r="L39" s="39"/>
    </row>
    <row r="40" spans="1:12" ht="33" customHeight="1">
      <c r="A40" s="25"/>
      <c r="B40" s="25"/>
      <c r="C40" s="25"/>
      <c r="D40" s="25"/>
      <c r="E40" s="25"/>
      <c r="J40" s="37"/>
      <c r="K40" s="38"/>
      <c r="L40" s="39"/>
    </row>
    <row r="41" spans="1:12" ht="33" customHeight="1">
      <c r="A41" s="25"/>
      <c r="B41" s="25"/>
      <c r="C41" s="25"/>
      <c r="D41" s="25"/>
      <c r="E41" s="25"/>
      <c r="J41" s="37"/>
      <c r="K41" s="38"/>
      <c r="L41" s="39"/>
    </row>
    <row r="42" spans="1:12" ht="33" customHeight="1">
      <c r="A42" s="25"/>
      <c r="B42" s="25"/>
      <c r="C42" s="25"/>
      <c r="D42" s="25"/>
      <c r="E42" s="25"/>
      <c r="J42" s="37"/>
      <c r="K42" s="38"/>
      <c r="L42" s="39"/>
    </row>
    <row r="43" spans="1:12" ht="33" customHeight="1">
      <c r="A43" s="25"/>
      <c r="B43" s="25"/>
      <c r="C43" s="25"/>
      <c r="D43" s="25"/>
      <c r="E43" s="25"/>
      <c r="J43" s="37"/>
      <c r="K43" s="38"/>
      <c r="L43" s="39"/>
    </row>
    <row r="44" spans="1:12" ht="33" customHeight="1">
      <c r="A44" s="25"/>
      <c r="B44" s="25"/>
      <c r="C44" s="25"/>
      <c r="D44" s="25"/>
      <c r="E44" s="25"/>
      <c r="J44" s="37"/>
      <c r="K44" s="38"/>
      <c r="L44" s="39"/>
    </row>
    <row r="45" spans="1:12" ht="33" customHeight="1">
      <c r="A45" s="25"/>
      <c r="B45" s="25"/>
      <c r="C45" s="25"/>
      <c r="D45" s="25"/>
      <c r="E45" s="25"/>
      <c r="J45" s="37"/>
      <c r="K45" s="38"/>
      <c r="L45" s="39"/>
    </row>
    <row r="46" spans="1:12" ht="33" customHeight="1">
      <c r="A46" s="25"/>
      <c r="B46" s="25"/>
      <c r="C46" s="25"/>
      <c r="D46" s="25"/>
      <c r="E46" s="25"/>
      <c r="J46" s="37"/>
      <c r="K46" s="38"/>
      <c r="L46" s="39"/>
    </row>
    <row r="47" spans="1:12" ht="33" customHeight="1">
      <c r="A47" s="25"/>
      <c r="B47" s="25"/>
      <c r="C47" s="25"/>
      <c r="D47" s="25"/>
      <c r="E47" s="25"/>
      <c r="J47" s="37"/>
      <c r="K47" s="38"/>
      <c r="L47" s="39"/>
    </row>
    <row r="48" spans="1:12" ht="33" customHeight="1">
      <c r="A48" s="25"/>
      <c r="B48" s="25"/>
      <c r="C48" s="25"/>
      <c r="D48" s="25"/>
      <c r="E48" s="25"/>
      <c r="J48" s="37"/>
      <c r="K48" s="38"/>
      <c r="L48" s="39"/>
    </row>
    <row r="49" spans="1:12" ht="33" customHeight="1">
      <c r="A49" s="25"/>
      <c r="B49" s="25"/>
      <c r="C49" s="25"/>
      <c r="D49" s="25"/>
      <c r="E49" s="25"/>
      <c r="J49" s="37"/>
      <c r="K49" s="38"/>
      <c r="L49" s="39"/>
    </row>
    <row r="50" spans="1:12" ht="33" customHeight="1">
      <c r="A50" s="25"/>
      <c r="B50" s="25"/>
      <c r="C50" s="25"/>
      <c r="D50" s="25"/>
      <c r="E50" s="25"/>
      <c r="J50" s="37"/>
      <c r="K50" s="38"/>
      <c r="L50" s="39"/>
    </row>
    <row r="51" spans="1:12" ht="33" customHeight="1">
      <c r="A51" s="25"/>
      <c r="B51" s="25"/>
      <c r="C51" s="25"/>
      <c r="D51" s="25"/>
      <c r="E51" s="25"/>
      <c r="J51" s="37"/>
      <c r="K51" s="38"/>
      <c r="L51" s="39"/>
    </row>
    <row r="52" spans="1:12" ht="33" customHeight="1">
      <c r="A52" s="25"/>
      <c r="B52" s="25"/>
      <c r="C52" s="25"/>
      <c r="D52" s="25"/>
      <c r="E52" s="25"/>
      <c r="J52" s="37"/>
      <c r="K52" s="38"/>
      <c r="L52" s="39"/>
    </row>
    <row r="53" spans="1:12" ht="33" customHeight="1">
      <c r="A53" s="25"/>
      <c r="B53" s="25"/>
      <c r="C53" s="25"/>
      <c r="D53" s="25"/>
      <c r="E53" s="25"/>
      <c r="J53" s="37"/>
      <c r="K53" s="38"/>
      <c r="L53" s="39"/>
    </row>
    <row r="54" spans="1:12" ht="33" customHeight="1">
      <c r="A54" s="25"/>
      <c r="B54" s="25"/>
      <c r="C54" s="25"/>
      <c r="D54" s="25"/>
      <c r="E54" s="25"/>
      <c r="J54" s="37"/>
      <c r="K54" s="38"/>
      <c r="L54" s="39"/>
    </row>
    <row r="55" spans="1:12" ht="33" customHeight="1">
      <c r="A55" s="25"/>
      <c r="B55" s="25"/>
      <c r="C55" s="25"/>
      <c r="D55" s="25"/>
      <c r="E55" s="25"/>
      <c r="J55" s="37"/>
      <c r="K55" s="38"/>
      <c r="L55" s="39"/>
    </row>
    <row r="56" spans="1:12" ht="33" customHeight="1">
      <c r="A56" s="25"/>
      <c r="B56" s="25"/>
      <c r="C56" s="25"/>
      <c r="D56" s="25"/>
      <c r="E56" s="25"/>
      <c r="J56" s="37"/>
      <c r="K56" s="38"/>
      <c r="L56" s="39"/>
    </row>
    <row r="57" spans="1:12" ht="33" customHeight="1">
      <c r="A57" s="25"/>
      <c r="B57" s="25"/>
      <c r="C57" s="25"/>
      <c r="D57" s="25"/>
      <c r="E57" s="25"/>
      <c r="J57" s="37"/>
      <c r="K57" s="38"/>
      <c r="L57" s="39"/>
    </row>
    <row r="58" spans="1:12" ht="33" customHeight="1">
      <c r="A58" s="25"/>
      <c r="B58" s="25"/>
      <c r="C58" s="25"/>
      <c r="D58" s="25"/>
      <c r="E58" s="25"/>
      <c r="J58" s="37"/>
      <c r="K58" s="38"/>
      <c r="L58" s="39"/>
    </row>
    <row r="59" spans="1:12" ht="33" customHeight="1">
      <c r="A59" s="25"/>
      <c r="B59" s="25"/>
      <c r="C59" s="25"/>
      <c r="D59" s="25"/>
      <c r="E59" s="25"/>
      <c r="J59" s="37"/>
      <c r="K59" s="38"/>
      <c r="L59" s="39"/>
    </row>
    <row r="60" spans="1:12" ht="33" customHeight="1">
      <c r="A60" s="25"/>
      <c r="B60" s="25"/>
      <c r="C60" s="25"/>
      <c r="D60" s="25"/>
      <c r="E60" s="25"/>
      <c r="J60" s="37"/>
      <c r="K60" s="38"/>
      <c r="L60" s="39"/>
    </row>
    <row r="61" spans="1:12" ht="33" customHeight="1">
      <c r="A61" s="25"/>
      <c r="B61" s="25"/>
      <c r="C61" s="25"/>
      <c r="D61" s="25"/>
      <c r="E61" s="25"/>
      <c r="J61" s="37"/>
      <c r="K61" s="38"/>
      <c r="L61" s="39"/>
    </row>
    <row r="62" spans="1:12" ht="33" customHeight="1">
      <c r="A62" s="25"/>
      <c r="B62" s="25"/>
      <c r="C62" s="25"/>
      <c r="D62" s="25"/>
      <c r="E62" s="25"/>
      <c r="J62" s="37"/>
      <c r="K62" s="38"/>
      <c r="L62" s="39"/>
    </row>
    <row r="63" spans="1:12" ht="33" customHeight="1">
      <c r="A63" s="25"/>
      <c r="B63" s="25"/>
      <c r="C63" s="25"/>
      <c r="D63" s="25"/>
      <c r="E63" s="25"/>
      <c r="J63" s="37"/>
      <c r="K63" s="38"/>
      <c r="L63" s="39"/>
    </row>
    <row r="64" spans="1:12" ht="33" customHeight="1">
      <c r="A64" s="25"/>
      <c r="B64" s="25"/>
      <c r="C64" s="25"/>
      <c r="D64" s="25"/>
      <c r="E64" s="25"/>
      <c r="J64" s="37"/>
      <c r="K64" s="38"/>
      <c r="L64" s="39"/>
    </row>
    <row r="65" spans="1:12" ht="33" customHeight="1">
      <c r="A65" s="25"/>
      <c r="B65" s="25"/>
      <c r="C65" s="25"/>
      <c r="D65" s="25"/>
      <c r="E65" s="25"/>
      <c r="J65" s="37"/>
      <c r="K65" s="38"/>
      <c r="L65" s="39"/>
    </row>
    <row r="66" spans="1:12" ht="33" customHeight="1">
      <c r="A66" s="25"/>
      <c r="B66" s="25"/>
      <c r="C66" s="25"/>
      <c r="D66" s="25"/>
      <c r="E66" s="25"/>
      <c r="J66" s="37"/>
      <c r="K66" s="38"/>
      <c r="L66" s="39"/>
    </row>
    <row r="67" spans="1:12" ht="33" customHeight="1">
      <c r="A67" s="25"/>
      <c r="B67" s="25"/>
      <c r="C67" s="25"/>
      <c r="D67" s="25"/>
      <c r="E67" s="25"/>
      <c r="J67" s="37"/>
      <c r="K67" s="38"/>
      <c r="L67" s="39"/>
    </row>
    <row r="68" spans="1:12" ht="33" customHeight="1">
      <c r="A68" s="25"/>
      <c r="B68" s="25"/>
      <c r="C68" s="25"/>
      <c r="D68" s="25"/>
      <c r="E68" s="25"/>
      <c r="J68" s="37"/>
      <c r="K68" s="38"/>
      <c r="L68" s="39"/>
    </row>
    <row r="69" spans="1:12" ht="33" customHeight="1">
      <c r="A69" s="25"/>
      <c r="B69" s="25"/>
      <c r="C69" s="25"/>
      <c r="D69" s="25"/>
      <c r="E69" s="25"/>
      <c r="J69" s="37"/>
      <c r="K69" s="38"/>
      <c r="L69" s="39"/>
    </row>
    <row r="70" spans="1:12" ht="33" customHeight="1">
      <c r="A70" s="25"/>
      <c r="B70" s="25"/>
      <c r="C70" s="25"/>
      <c r="D70" s="25"/>
      <c r="E70" s="25"/>
      <c r="J70" s="37"/>
      <c r="K70" s="38"/>
      <c r="L70" s="39"/>
    </row>
    <row r="71" spans="1:12" ht="33" customHeight="1">
      <c r="A71" s="25"/>
      <c r="B71" s="25"/>
      <c r="C71" s="25"/>
      <c r="D71" s="25"/>
      <c r="E71" s="25"/>
      <c r="J71" s="37"/>
      <c r="K71" s="38"/>
      <c r="L71" s="39"/>
    </row>
    <row r="72" spans="1:12" ht="33" customHeight="1">
      <c r="A72" s="25"/>
      <c r="B72" s="25"/>
      <c r="C72" s="25"/>
      <c r="D72" s="25"/>
      <c r="E72" s="25"/>
      <c r="J72" s="37"/>
      <c r="K72" s="38"/>
      <c r="L72" s="39"/>
    </row>
    <row r="73" spans="1:12" ht="33" customHeight="1">
      <c r="A73" s="25"/>
      <c r="B73" s="25"/>
      <c r="C73" s="25"/>
      <c r="D73" s="25"/>
      <c r="E73" s="25"/>
      <c r="J73" s="37"/>
      <c r="K73" s="38"/>
      <c r="L73" s="39"/>
    </row>
    <row r="74" spans="1:12" ht="33" customHeight="1">
      <c r="A74" s="25"/>
      <c r="B74" s="25"/>
      <c r="C74" s="25"/>
      <c r="D74" s="25"/>
      <c r="E74" s="25"/>
      <c r="J74" s="37"/>
      <c r="K74" s="38"/>
      <c r="L74" s="39"/>
    </row>
    <row r="75" spans="1:12" ht="33" customHeight="1">
      <c r="A75" s="25"/>
      <c r="B75" s="25"/>
      <c r="C75" s="25"/>
      <c r="D75" s="25"/>
      <c r="E75" s="25"/>
      <c r="J75" s="37"/>
      <c r="K75" s="38"/>
      <c r="L75" s="39"/>
    </row>
    <row r="76" spans="1:12" ht="33" customHeight="1">
      <c r="A76" s="25"/>
      <c r="B76" s="25"/>
      <c r="C76" s="25"/>
      <c r="D76" s="25"/>
      <c r="E76" s="25"/>
      <c r="J76" s="37"/>
      <c r="K76" s="38"/>
      <c r="L76" s="39"/>
    </row>
    <row r="77" spans="1:12" ht="33" customHeight="1">
      <c r="A77" s="25"/>
      <c r="B77" s="25"/>
      <c r="C77" s="25"/>
      <c r="D77" s="25"/>
      <c r="E77" s="25"/>
      <c r="J77" s="37"/>
      <c r="K77" s="38"/>
      <c r="L77" s="39"/>
    </row>
    <row r="78" spans="1:12" ht="33" customHeight="1">
      <c r="A78" s="25"/>
      <c r="B78" s="25"/>
      <c r="C78" s="25"/>
      <c r="D78" s="25"/>
      <c r="E78" s="25"/>
      <c r="J78" s="37"/>
      <c r="K78" s="38"/>
      <c r="L78" s="39"/>
    </row>
    <row r="79" spans="1:12" ht="33" customHeight="1">
      <c r="A79" s="25"/>
      <c r="B79" s="25"/>
      <c r="C79" s="25"/>
      <c r="D79" s="25"/>
      <c r="E79" s="25"/>
      <c r="J79" s="37"/>
      <c r="K79" s="38"/>
      <c r="L79" s="39"/>
    </row>
    <row r="80" spans="1:12" ht="33" customHeight="1">
      <c r="A80" s="25"/>
      <c r="B80" s="25"/>
      <c r="C80" s="25"/>
      <c r="D80" s="25"/>
      <c r="E80" s="25"/>
      <c r="J80" s="37"/>
      <c r="K80" s="38"/>
      <c r="L80" s="39"/>
    </row>
    <row r="81" spans="1:12" ht="33" customHeight="1">
      <c r="A81" s="25"/>
      <c r="B81" s="25"/>
      <c r="C81" s="25"/>
      <c r="D81" s="25"/>
      <c r="E81" s="25"/>
      <c r="J81" s="37"/>
      <c r="K81" s="38"/>
      <c r="L81" s="39"/>
    </row>
    <row r="82" spans="1:12" ht="33" customHeight="1">
      <c r="A82" s="25"/>
      <c r="B82" s="25"/>
      <c r="C82" s="25"/>
      <c r="D82" s="25"/>
      <c r="E82" s="25"/>
      <c r="J82" s="37"/>
      <c r="K82" s="38"/>
      <c r="L82" s="39"/>
    </row>
    <row r="83" spans="1:12" ht="33" customHeight="1">
      <c r="A83" s="25"/>
      <c r="B83" s="25"/>
      <c r="C83" s="25"/>
      <c r="D83" s="25"/>
      <c r="E83" s="25"/>
      <c r="J83" s="37"/>
      <c r="K83" s="38"/>
      <c r="L83" s="39"/>
    </row>
    <row r="84" spans="1:12" ht="33" customHeight="1">
      <c r="A84" s="25"/>
      <c r="B84" s="25"/>
      <c r="C84" s="25"/>
      <c r="D84" s="25"/>
      <c r="E84" s="25"/>
      <c r="J84" s="37"/>
      <c r="K84" s="38"/>
      <c r="L84" s="39"/>
    </row>
    <row r="85" spans="1:12" ht="33" customHeight="1">
      <c r="A85" s="25"/>
      <c r="B85" s="25"/>
      <c r="C85" s="25"/>
      <c r="D85" s="25"/>
      <c r="E85" s="25"/>
      <c r="J85" s="37"/>
      <c r="K85" s="38"/>
      <c r="L85" s="39"/>
    </row>
    <row r="86" spans="1:12" ht="33" customHeight="1">
      <c r="A86" s="25"/>
      <c r="B86" s="25"/>
      <c r="C86" s="25"/>
      <c r="D86" s="25"/>
      <c r="E86" s="25"/>
      <c r="J86" s="37"/>
      <c r="K86" s="38"/>
      <c r="L86" s="39"/>
    </row>
    <row r="87" spans="1:12" ht="33" customHeight="1">
      <c r="A87" s="25"/>
      <c r="B87" s="25"/>
      <c r="C87" s="25"/>
      <c r="D87" s="25"/>
      <c r="E87" s="25"/>
      <c r="J87" s="37"/>
      <c r="K87" s="38"/>
      <c r="L87" s="39"/>
    </row>
    <row r="88" spans="1:12" ht="33" customHeight="1">
      <c r="A88" s="25"/>
      <c r="B88" s="25"/>
      <c r="C88" s="25"/>
      <c r="D88" s="25"/>
      <c r="E88" s="25"/>
      <c r="J88" s="37"/>
      <c r="K88" s="38"/>
      <c r="L88" s="39"/>
    </row>
    <row r="89" spans="1:12" ht="33" customHeight="1">
      <c r="A89" s="25"/>
      <c r="B89" s="25"/>
      <c r="C89" s="25"/>
      <c r="D89" s="25"/>
      <c r="E89" s="25"/>
      <c r="J89" s="37"/>
      <c r="K89" s="38"/>
      <c r="L89" s="39"/>
    </row>
    <row r="90" spans="1:12" ht="33" customHeight="1">
      <c r="A90" s="25"/>
      <c r="B90" s="25"/>
      <c r="C90" s="25"/>
      <c r="D90" s="25"/>
      <c r="E90" s="25"/>
      <c r="J90" s="37"/>
      <c r="K90" s="38"/>
      <c r="L90" s="39"/>
    </row>
    <row r="91" spans="1:12" ht="33" customHeight="1">
      <c r="A91" s="25"/>
      <c r="B91" s="25"/>
      <c r="C91" s="25"/>
      <c r="D91" s="25"/>
      <c r="E91" s="25"/>
      <c r="J91" s="37"/>
      <c r="K91" s="38"/>
      <c r="L91" s="39"/>
    </row>
    <row r="92" spans="1:12" ht="33" customHeight="1">
      <c r="A92" s="25"/>
      <c r="B92" s="25"/>
      <c r="C92" s="25"/>
      <c r="D92" s="25"/>
      <c r="E92" s="25"/>
      <c r="J92" s="37"/>
      <c r="K92" s="38"/>
      <c r="L92" s="39"/>
    </row>
    <row r="93" spans="1:12" ht="33" customHeight="1">
      <c r="A93" s="25"/>
      <c r="B93" s="25"/>
      <c r="C93" s="25"/>
      <c r="D93" s="25"/>
      <c r="E93" s="25"/>
      <c r="J93" s="37"/>
      <c r="K93" s="38"/>
      <c r="L93" s="39"/>
    </row>
    <row r="94" spans="1:12" ht="33" customHeight="1">
      <c r="A94" s="25"/>
      <c r="B94" s="25"/>
      <c r="C94" s="25"/>
      <c r="D94" s="25"/>
      <c r="E94" s="25"/>
      <c r="J94" s="37"/>
      <c r="K94" s="38"/>
      <c r="L94" s="39"/>
    </row>
    <row r="95" spans="1:12" ht="33" customHeight="1">
      <c r="A95" s="25"/>
      <c r="B95" s="25"/>
      <c r="C95" s="25"/>
      <c r="D95" s="25"/>
      <c r="E95" s="25"/>
      <c r="J95" s="37"/>
      <c r="K95" s="38"/>
      <c r="L95" s="39"/>
    </row>
    <row r="96" spans="1:12" ht="33" customHeight="1">
      <c r="A96" s="25"/>
      <c r="B96" s="25"/>
      <c r="C96" s="25"/>
      <c r="D96" s="25"/>
      <c r="E96" s="25"/>
      <c r="J96" s="37"/>
      <c r="K96" s="38"/>
      <c r="L96" s="39"/>
    </row>
    <row r="97" spans="1:12" ht="33" customHeight="1">
      <c r="A97" s="25"/>
      <c r="B97" s="25"/>
      <c r="C97" s="25"/>
      <c r="D97" s="25"/>
      <c r="E97" s="25"/>
      <c r="J97" s="37"/>
      <c r="K97" s="38"/>
      <c r="L97" s="39"/>
    </row>
    <row r="98" spans="1:12" ht="33" customHeight="1">
      <c r="A98" s="25"/>
      <c r="B98" s="25"/>
      <c r="C98" s="25"/>
      <c r="D98" s="25"/>
      <c r="E98" s="25"/>
      <c r="J98" s="37"/>
      <c r="K98" s="38"/>
      <c r="L98" s="39"/>
    </row>
    <row r="99" spans="1:12" ht="33" customHeight="1">
      <c r="A99" s="25"/>
      <c r="B99" s="25"/>
      <c r="C99" s="25"/>
      <c r="D99" s="25"/>
      <c r="E99" s="25"/>
      <c r="J99" s="37"/>
      <c r="K99" s="38"/>
      <c r="L99" s="39"/>
    </row>
    <row r="100" spans="1:12" ht="33" customHeight="1">
      <c r="A100" s="25"/>
      <c r="B100" s="25"/>
      <c r="C100" s="25"/>
      <c r="D100" s="25"/>
      <c r="E100" s="25"/>
      <c r="J100" s="37"/>
      <c r="K100" s="38"/>
      <c r="L100" s="39"/>
    </row>
    <row r="101" spans="1:12" ht="33" customHeight="1">
      <c r="A101" s="25"/>
      <c r="B101" s="25"/>
      <c r="C101" s="25"/>
      <c r="D101" s="25"/>
      <c r="E101" s="25"/>
      <c r="J101" s="37"/>
      <c r="K101" s="38"/>
      <c r="L101" s="39"/>
    </row>
    <row r="102" spans="1:12" ht="33" customHeight="1">
      <c r="A102" s="25"/>
      <c r="B102" s="25"/>
      <c r="C102" s="25"/>
      <c r="D102" s="25"/>
      <c r="E102" s="25"/>
      <c r="J102" s="37"/>
      <c r="K102" s="38"/>
      <c r="L102" s="39"/>
    </row>
    <row r="103" spans="1:12" ht="33" customHeight="1">
      <c r="A103" s="25"/>
      <c r="B103" s="25"/>
      <c r="C103" s="25"/>
      <c r="D103" s="25"/>
      <c r="E103" s="25"/>
      <c r="J103" s="37"/>
      <c r="K103" s="38"/>
      <c r="L103" s="39"/>
    </row>
    <row r="104" spans="1:12" ht="33" customHeight="1">
      <c r="A104" s="25"/>
      <c r="B104" s="25"/>
      <c r="C104" s="25"/>
      <c r="D104" s="25"/>
      <c r="E104" s="25"/>
      <c r="J104" s="37"/>
      <c r="K104" s="38"/>
      <c r="L104" s="39"/>
    </row>
    <row r="105" spans="1:12" ht="33" customHeight="1">
      <c r="A105" s="25"/>
      <c r="B105" s="25"/>
      <c r="C105" s="25"/>
      <c r="D105" s="25"/>
      <c r="E105" s="25"/>
      <c r="J105" s="37"/>
      <c r="K105" s="38"/>
      <c r="L105" s="39"/>
    </row>
    <row r="106" spans="1:12" ht="33" customHeight="1">
      <c r="A106" s="25"/>
      <c r="B106" s="25"/>
      <c r="C106" s="25"/>
      <c r="D106" s="25"/>
      <c r="E106" s="25"/>
      <c r="J106" s="37"/>
      <c r="K106" s="38"/>
      <c r="L106" s="39"/>
    </row>
    <row r="107" spans="1:12" ht="33" customHeight="1">
      <c r="A107" s="25"/>
      <c r="B107" s="25"/>
      <c r="C107" s="25"/>
      <c r="D107" s="25"/>
      <c r="E107" s="25"/>
      <c r="J107" s="37"/>
      <c r="K107" s="38"/>
      <c r="L107" s="39"/>
    </row>
    <row r="108" spans="1:12" ht="33" customHeight="1">
      <c r="A108" s="25"/>
      <c r="B108" s="25"/>
      <c r="C108" s="25"/>
      <c r="D108" s="25"/>
      <c r="E108" s="25"/>
      <c r="J108" s="37"/>
      <c r="K108" s="38"/>
      <c r="L108" s="39"/>
    </row>
    <row r="109" spans="1:12" ht="33" customHeight="1">
      <c r="A109" s="25"/>
      <c r="B109" s="25"/>
      <c r="C109" s="25"/>
      <c r="D109" s="25"/>
      <c r="E109" s="25"/>
      <c r="J109" s="37"/>
      <c r="K109" s="38"/>
      <c r="L109" s="39"/>
    </row>
    <row r="110" spans="1:12" ht="33" customHeight="1">
      <c r="A110" s="25"/>
      <c r="B110" s="25"/>
      <c r="C110" s="25"/>
      <c r="D110" s="25"/>
      <c r="E110" s="25"/>
      <c r="J110" s="37"/>
      <c r="K110" s="38"/>
      <c r="L110" s="39"/>
    </row>
    <row r="111" spans="1:12" ht="33" customHeight="1">
      <c r="A111" s="25"/>
      <c r="B111" s="25"/>
      <c r="C111" s="25"/>
      <c r="D111" s="25"/>
      <c r="E111" s="25"/>
      <c r="J111" s="37"/>
      <c r="K111" s="38"/>
      <c r="L111" s="39"/>
    </row>
    <row r="112" spans="1:12" ht="33" customHeight="1">
      <c r="A112" s="25"/>
      <c r="B112" s="25"/>
      <c r="C112" s="25"/>
      <c r="D112" s="25"/>
      <c r="E112" s="25"/>
      <c r="J112" s="37"/>
      <c r="K112" s="38"/>
      <c r="L112" s="39"/>
    </row>
    <row r="113" spans="1:12" ht="33" customHeight="1">
      <c r="A113" s="25"/>
      <c r="B113" s="25"/>
      <c r="C113" s="25"/>
      <c r="D113" s="25"/>
      <c r="E113" s="25"/>
      <c r="J113" s="37"/>
      <c r="K113" s="38"/>
      <c r="L113" s="39"/>
    </row>
    <row r="114" spans="1:12" ht="33" customHeight="1">
      <c r="A114" s="25"/>
      <c r="B114" s="25"/>
      <c r="C114" s="25"/>
      <c r="D114" s="25"/>
      <c r="E114" s="25"/>
      <c r="J114" s="37"/>
      <c r="K114" s="38"/>
      <c r="L114" s="39"/>
    </row>
    <row r="115" spans="1:12" ht="33" customHeight="1">
      <c r="A115" s="25"/>
      <c r="B115" s="25"/>
      <c r="C115" s="25"/>
      <c r="D115" s="25"/>
      <c r="E115" s="25"/>
      <c r="J115" s="37"/>
      <c r="K115" s="38"/>
      <c r="L115" s="39"/>
    </row>
    <row r="116" spans="1:12" ht="33" customHeight="1">
      <c r="A116" s="25"/>
      <c r="B116" s="25"/>
      <c r="C116" s="25"/>
      <c r="D116" s="25"/>
      <c r="E116" s="25"/>
      <c r="J116" s="37"/>
      <c r="K116" s="38"/>
      <c r="L116" s="39"/>
    </row>
    <row r="117" spans="1:12" ht="33" customHeight="1">
      <c r="A117" s="25"/>
      <c r="B117" s="25"/>
      <c r="C117" s="25"/>
      <c r="D117" s="25"/>
      <c r="E117" s="25"/>
      <c r="J117" s="37"/>
      <c r="K117" s="38"/>
      <c r="L117" s="39"/>
    </row>
    <row r="118" spans="1:12" ht="33" customHeight="1">
      <c r="A118" s="25"/>
      <c r="B118" s="25"/>
      <c r="C118" s="25"/>
      <c r="D118" s="25"/>
      <c r="E118" s="25"/>
      <c r="J118" s="37"/>
      <c r="K118" s="38"/>
      <c r="L118" s="39"/>
    </row>
    <row r="119" spans="1:12" ht="33" customHeight="1">
      <c r="A119" s="25"/>
      <c r="B119" s="25"/>
      <c r="C119" s="25"/>
      <c r="D119" s="25"/>
      <c r="E119" s="25"/>
      <c r="J119" s="37"/>
      <c r="K119" s="38"/>
      <c r="L119" s="39"/>
    </row>
    <row r="120" spans="1:12" ht="33" customHeight="1">
      <c r="A120" s="25"/>
      <c r="B120" s="25"/>
      <c r="C120" s="25"/>
      <c r="D120" s="25"/>
      <c r="E120" s="25"/>
      <c r="J120" s="37"/>
      <c r="K120" s="38"/>
      <c r="L120" s="39"/>
    </row>
    <row r="121" spans="1:12" ht="33" customHeight="1">
      <c r="A121" s="25"/>
      <c r="B121" s="25"/>
      <c r="C121" s="25"/>
      <c r="D121" s="25"/>
      <c r="E121" s="25"/>
      <c r="J121" s="37"/>
      <c r="K121" s="38"/>
      <c r="L121" s="39"/>
    </row>
    <row r="122" spans="1:12" ht="33" customHeight="1">
      <c r="A122" s="25"/>
      <c r="B122" s="25"/>
      <c r="C122" s="25"/>
      <c r="D122" s="25"/>
      <c r="E122" s="25"/>
      <c r="J122" s="37"/>
      <c r="K122" s="38"/>
      <c r="L122" s="39"/>
    </row>
    <row r="123" spans="1:12" ht="33" customHeight="1">
      <c r="A123" s="25"/>
      <c r="B123" s="25"/>
      <c r="C123" s="25"/>
      <c r="D123" s="25"/>
      <c r="E123" s="25"/>
      <c r="J123" s="37"/>
      <c r="K123" s="38"/>
      <c r="L123" s="39"/>
    </row>
    <row r="124" spans="1:12" ht="33" customHeight="1">
      <c r="A124" s="25"/>
      <c r="B124" s="25"/>
      <c r="C124" s="25"/>
      <c r="D124" s="25"/>
      <c r="E124" s="25"/>
      <c r="J124" s="37"/>
      <c r="K124" s="38"/>
      <c r="L124" s="39"/>
    </row>
    <row r="125" spans="1:12" ht="33" customHeight="1">
      <c r="A125" s="25"/>
      <c r="B125" s="25"/>
      <c r="C125" s="25"/>
      <c r="D125" s="25"/>
      <c r="E125" s="25"/>
      <c r="J125" s="37"/>
      <c r="K125" s="38"/>
      <c r="L125" s="39"/>
    </row>
    <row r="126" spans="1:12" ht="33" customHeight="1">
      <c r="A126" s="25"/>
      <c r="B126" s="25"/>
      <c r="C126" s="25"/>
      <c r="D126" s="25"/>
      <c r="E126" s="25"/>
      <c r="J126" s="37"/>
      <c r="K126" s="38"/>
      <c r="L126" s="39"/>
    </row>
    <row r="127" spans="1:12" ht="33" customHeight="1">
      <c r="A127" s="25"/>
      <c r="B127" s="25"/>
      <c r="C127" s="25"/>
      <c r="D127" s="25"/>
      <c r="E127" s="25"/>
      <c r="J127" s="37"/>
      <c r="K127" s="38"/>
      <c r="L127" s="39"/>
    </row>
    <row r="128" spans="1:12" ht="33" customHeight="1">
      <c r="A128" s="25"/>
      <c r="B128" s="25"/>
      <c r="C128" s="25"/>
      <c r="D128" s="25"/>
      <c r="E128" s="25"/>
      <c r="J128" s="37"/>
      <c r="K128" s="38"/>
      <c r="L128" s="39"/>
    </row>
    <row r="129" spans="1:12" ht="33" customHeight="1">
      <c r="A129" s="25"/>
      <c r="B129" s="25"/>
      <c r="C129" s="25"/>
      <c r="D129" s="25"/>
      <c r="E129" s="25"/>
      <c r="J129" s="37"/>
      <c r="K129" s="38"/>
      <c r="L129" s="39"/>
    </row>
    <row r="130" spans="1:12" ht="33" customHeight="1">
      <c r="A130" s="25"/>
      <c r="B130" s="25"/>
      <c r="C130" s="25"/>
      <c r="D130" s="25"/>
      <c r="E130" s="25"/>
      <c r="J130" s="37"/>
      <c r="K130" s="38"/>
      <c r="L130" s="39"/>
    </row>
    <row r="131" spans="1:12" ht="33" customHeight="1">
      <c r="A131" s="25"/>
      <c r="B131" s="25"/>
      <c r="C131" s="25"/>
      <c r="D131" s="25"/>
      <c r="E131" s="25"/>
      <c r="J131" s="37"/>
      <c r="K131" s="38"/>
      <c r="L131" s="39"/>
    </row>
    <row r="132" spans="1:12" ht="33" customHeight="1">
      <c r="A132" s="25"/>
      <c r="B132" s="25"/>
      <c r="C132" s="25"/>
      <c r="D132" s="25"/>
      <c r="E132" s="25"/>
      <c r="J132" s="37"/>
      <c r="K132" s="38"/>
      <c r="L132" s="39"/>
    </row>
    <row r="133" spans="1:12" ht="33" customHeight="1">
      <c r="A133" s="25"/>
      <c r="B133" s="25"/>
      <c r="C133" s="25"/>
      <c r="D133" s="25"/>
      <c r="E133" s="25"/>
      <c r="J133" s="37"/>
      <c r="K133" s="38"/>
      <c r="L133" s="39"/>
    </row>
    <row r="134" spans="1:12" ht="33" customHeight="1">
      <c r="A134" s="25"/>
      <c r="B134" s="25"/>
      <c r="C134" s="25"/>
      <c r="D134" s="25"/>
      <c r="E134" s="25"/>
      <c r="J134" s="37"/>
      <c r="K134" s="38"/>
      <c r="L134" s="39"/>
    </row>
    <row r="135" spans="1:12" ht="33" customHeight="1">
      <c r="A135" s="25"/>
      <c r="B135" s="25"/>
      <c r="C135" s="25"/>
      <c r="D135" s="25"/>
      <c r="E135" s="25"/>
      <c r="J135" s="37"/>
      <c r="K135" s="38"/>
      <c r="L135" s="39"/>
    </row>
    <row r="136" spans="1:12" ht="33" customHeight="1">
      <c r="A136" s="25"/>
      <c r="B136" s="25"/>
      <c r="C136" s="25"/>
      <c r="D136" s="25"/>
      <c r="E136" s="25"/>
      <c r="J136" s="37"/>
      <c r="K136" s="38"/>
      <c r="L136" s="39"/>
    </row>
    <row r="137" spans="1:12" ht="33" customHeight="1">
      <c r="A137" s="25"/>
      <c r="B137" s="25"/>
      <c r="C137" s="25"/>
      <c r="D137" s="25"/>
      <c r="E137" s="25"/>
      <c r="J137" s="37"/>
      <c r="K137" s="38"/>
      <c r="L137" s="39"/>
    </row>
    <row r="138" spans="1:12" ht="33" customHeight="1">
      <c r="A138" s="25"/>
      <c r="B138" s="25"/>
      <c r="C138" s="25"/>
      <c r="D138" s="25"/>
      <c r="E138" s="25"/>
      <c r="J138" s="37"/>
      <c r="K138" s="38"/>
      <c r="L138" s="39"/>
    </row>
    <row r="139" spans="1:12" ht="33" customHeight="1">
      <c r="A139" s="25"/>
      <c r="B139" s="25"/>
      <c r="C139" s="25"/>
      <c r="D139" s="25"/>
      <c r="E139" s="25"/>
      <c r="J139" s="37"/>
      <c r="K139" s="38"/>
      <c r="L139" s="39"/>
    </row>
    <row r="140" spans="1:12" ht="33" customHeight="1">
      <c r="A140" s="25"/>
      <c r="B140" s="25"/>
      <c r="C140" s="25"/>
      <c r="D140" s="25"/>
      <c r="E140" s="25"/>
      <c r="J140" s="37"/>
      <c r="K140" s="38"/>
      <c r="L140" s="39"/>
    </row>
    <row r="141" spans="1:12" ht="33" customHeight="1">
      <c r="A141" s="25"/>
      <c r="B141" s="25"/>
      <c r="C141" s="25"/>
      <c r="D141" s="25"/>
      <c r="E141" s="25"/>
      <c r="J141" s="37"/>
      <c r="K141" s="38"/>
      <c r="L141" s="39"/>
    </row>
    <row r="142" spans="1:12" ht="33" customHeight="1">
      <c r="A142" s="25"/>
      <c r="B142" s="25"/>
      <c r="C142" s="25"/>
      <c r="D142" s="25"/>
      <c r="E142" s="25"/>
      <c r="J142" s="37"/>
      <c r="K142" s="38"/>
      <c r="L142" s="39"/>
    </row>
    <row r="143" spans="1:12" ht="33" customHeight="1">
      <c r="A143" s="25"/>
      <c r="B143" s="25"/>
      <c r="C143" s="25"/>
      <c r="D143" s="25"/>
      <c r="E143" s="25"/>
      <c r="J143" s="37"/>
      <c r="K143" s="38"/>
      <c r="L143" s="39"/>
    </row>
    <row r="144" spans="1:12" ht="33" customHeight="1">
      <c r="A144" s="25"/>
      <c r="B144" s="25"/>
      <c r="C144" s="25"/>
      <c r="D144" s="25"/>
      <c r="E144" s="25"/>
      <c r="J144" s="37"/>
      <c r="K144" s="38"/>
      <c r="L144" s="39"/>
    </row>
    <row r="145" spans="1:12" ht="33" customHeight="1">
      <c r="A145" s="25"/>
      <c r="B145" s="25"/>
      <c r="C145" s="25"/>
      <c r="D145" s="25"/>
      <c r="E145" s="25"/>
      <c r="J145" s="37"/>
      <c r="K145" s="38"/>
      <c r="L145" s="39"/>
    </row>
    <row r="146" spans="1:12" ht="33" customHeight="1">
      <c r="A146" s="25"/>
      <c r="B146" s="25"/>
      <c r="C146" s="25"/>
      <c r="D146" s="25"/>
      <c r="E146" s="25"/>
      <c r="J146" s="37"/>
      <c r="K146" s="38"/>
      <c r="L146" s="39"/>
    </row>
    <row r="147" spans="1:12" ht="33" customHeight="1">
      <c r="A147" s="25"/>
      <c r="B147" s="25"/>
      <c r="C147" s="25"/>
      <c r="D147" s="25"/>
      <c r="E147" s="25"/>
      <c r="J147" s="37"/>
      <c r="K147" s="38"/>
      <c r="L147" s="39"/>
    </row>
    <row r="148" spans="1:12" ht="33" customHeight="1">
      <c r="A148" s="25"/>
      <c r="B148" s="25"/>
      <c r="C148" s="25"/>
      <c r="D148" s="25"/>
      <c r="E148" s="25"/>
      <c r="J148" s="37"/>
      <c r="K148" s="38"/>
      <c r="L148" s="39"/>
    </row>
    <row r="149" spans="1:12" ht="33" customHeight="1">
      <c r="A149" s="25"/>
      <c r="B149" s="25"/>
      <c r="C149" s="25"/>
      <c r="D149" s="25"/>
      <c r="E149" s="25"/>
      <c r="J149" s="37"/>
      <c r="K149" s="38"/>
      <c r="L149" s="39"/>
    </row>
    <row r="150" spans="1:12" ht="33" customHeight="1">
      <c r="A150" s="25"/>
      <c r="B150" s="25"/>
      <c r="C150" s="25"/>
      <c r="D150" s="25"/>
      <c r="E150" s="25"/>
      <c r="J150" s="37"/>
      <c r="K150" s="38"/>
      <c r="L150" s="39"/>
    </row>
    <row r="151" spans="1:12" ht="33" customHeight="1">
      <c r="A151" s="25"/>
      <c r="B151" s="25"/>
      <c r="C151" s="25"/>
      <c r="D151" s="25"/>
      <c r="E151" s="25"/>
      <c r="J151" s="37"/>
      <c r="K151" s="38"/>
      <c r="L151" s="39"/>
    </row>
    <row r="152" spans="1:12" ht="33" customHeight="1">
      <c r="A152" s="25"/>
      <c r="B152" s="25"/>
      <c r="C152" s="25"/>
      <c r="D152" s="25"/>
      <c r="E152" s="25"/>
      <c r="J152" s="37"/>
      <c r="K152" s="38"/>
      <c r="L152" s="39"/>
    </row>
    <row r="153" spans="1:12" ht="33" customHeight="1">
      <c r="A153" s="25"/>
      <c r="B153" s="25"/>
      <c r="C153" s="25"/>
      <c r="D153" s="25"/>
      <c r="E153" s="25"/>
      <c r="J153" s="37"/>
      <c r="K153" s="38"/>
      <c r="L153" s="39"/>
    </row>
    <row r="154" spans="1:12" ht="33" customHeight="1">
      <c r="A154" s="25"/>
      <c r="B154" s="25"/>
      <c r="C154" s="25"/>
      <c r="D154" s="25"/>
      <c r="E154" s="25"/>
      <c r="J154" s="37"/>
      <c r="K154" s="38"/>
      <c r="L154" s="39"/>
    </row>
    <row r="155" spans="1:12" ht="33" customHeight="1">
      <c r="A155" s="25"/>
      <c r="B155" s="25"/>
      <c r="C155" s="25"/>
      <c r="D155" s="25"/>
      <c r="E155" s="25"/>
      <c r="J155" s="37"/>
      <c r="K155" s="38"/>
      <c r="L155" s="39"/>
    </row>
    <row r="156" spans="1:12" ht="33" customHeight="1">
      <c r="A156" s="25"/>
      <c r="B156" s="25"/>
      <c r="C156" s="25"/>
      <c r="D156" s="25"/>
      <c r="E156" s="25"/>
      <c r="J156" s="37"/>
      <c r="K156" s="38"/>
      <c r="L156" s="39"/>
    </row>
    <row r="157" spans="1:12" ht="33" customHeight="1">
      <c r="A157" s="25"/>
      <c r="B157" s="25"/>
      <c r="C157" s="25"/>
      <c r="D157" s="25"/>
      <c r="E157" s="25"/>
      <c r="J157" s="37"/>
      <c r="K157" s="38"/>
      <c r="L157" s="39"/>
    </row>
    <row r="158" spans="1:12" ht="33" customHeight="1">
      <c r="A158" s="25"/>
      <c r="B158" s="25"/>
      <c r="C158" s="25"/>
      <c r="D158" s="25"/>
      <c r="E158" s="25"/>
      <c r="J158" s="37"/>
      <c r="K158" s="38"/>
      <c r="L158" s="39"/>
    </row>
    <row r="159" spans="1:12" ht="33" customHeight="1">
      <c r="A159" s="25"/>
      <c r="B159" s="25"/>
      <c r="C159" s="25"/>
      <c r="D159" s="25"/>
      <c r="E159" s="25"/>
      <c r="J159" s="37"/>
      <c r="K159" s="38"/>
      <c r="L159" s="39"/>
    </row>
    <row r="160" spans="1:12" ht="33" customHeight="1">
      <c r="A160" s="25"/>
      <c r="B160" s="25"/>
      <c r="C160" s="25"/>
      <c r="D160" s="25"/>
      <c r="E160" s="25"/>
      <c r="J160" s="37"/>
      <c r="K160" s="38"/>
      <c r="L160" s="39"/>
    </row>
    <row r="161" spans="1:12" ht="33" customHeight="1">
      <c r="A161" s="25"/>
      <c r="B161" s="25"/>
      <c r="C161" s="25"/>
      <c r="D161" s="25"/>
      <c r="E161" s="25"/>
      <c r="J161" s="37"/>
      <c r="K161" s="38"/>
      <c r="L161" s="39"/>
    </row>
    <row r="162" spans="1:12" ht="33" customHeight="1">
      <c r="A162" s="25"/>
      <c r="B162" s="25"/>
      <c r="C162" s="25"/>
      <c r="D162" s="25"/>
      <c r="E162" s="25"/>
      <c r="J162" s="37"/>
      <c r="K162" s="38"/>
      <c r="L162" s="39"/>
    </row>
    <row r="163" spans="1:12" ht="33" customHeight="1">
      <c r="A163" s="25"/>
      <c r="B163" s="25"/>
      <c r="C163" s="25"/>
      <c r="D163" s="25"/>
      <c r="E163" s="25"/>
      <c r="J163" s="37"/>
      <c r="K163" s="38"/>
      <c r="L163" s="39"/>
    </row>
    <row r="164" spans="1:12" ht="33" customHeight="1">
      <c r="A164" s="25"/>
      <c r="B164" s="25"/>
      <c r="C164" s="25"/>
      <c r="D164" s="25"/>
      <c r="E164" s="25"/>
      <c r="J164" s="37"/>
      <c r="K164" s="38"/>
      <c r="L164" s="39"/>
    </row>
    <row r="165" spans="1:12" ht="33" customHeight="1">
      <c r="A165" s="25"/>
      <c r="B165" s="25"/>
      <c r="C165" s="25"/>
      <c r="D165" s="25"/>
      <c r="E165" s="25"/>
      <c r="J165" s="37"/>
      <c r="K165" s="38"/>
      <c r="L165" s="39"/>
    </row>
    <row r="166" spans="1:12" ht="33" customHeight="1">
      <c r="A166" s="25"/>
      <c r="B166" s="25"/>
      <c r="C166" s="25"/>
      <c r="D166" s="25"/>
      <c r="E166" s="25"/>
      <c r="J166" s="37"/>
      <c r="K166" s="38"/>
      <c r="L166" s="39"/>
    </row>
    <row r="167" spans="1:12" ht="33" customHeight="1">
      <c r="A167" s="25"/>
      <c r="B167" s="25"/>
      <c r="C167" s="25"/>
      <c r="D167" s="25"/>
      <c r="E167" s="25"/>
      <c r="J167" s="37"/>
      <c r="K167" s="38"/>
      <c r="L167" s="39"/>
    </row>
    <row r="168" spans="1:12" ht="33" customHeight="1">
      <c r="A168" s="25"/>
      <c r="B168" s="25"/>
      <c r="C168" s="25"/>
      <c r="D168" s="25"/>
      <c r="E168" s="25"/>
      <c r="J168" s="37"/>
      <c r="K168" s="38"/>
      <c r="L168" s="39"/>
    </row>
    <row r="169" spans="1:12" ht="33" customHeight="1">
      <c r="A169" s="25"/>
      <c r="B169" s="25"/>
      <c r="C169" s="25"/>
      <c r="D169" s="25"/>
      <c r="E169" s="25"/>
      <c r="J169" s="37"/>
      <c r="K169" s="38"/>
      <c r="L169" s="39"/>
    </row>
    <row r="170" spans="1:12" ht="33" customHeight="1">
      <c r="A170" s="25"/>
      <c r="B170" s="25"/>
      <c r="C170" s="25"/>
      <c r="D170" s="25"/>
      <c r="E170" s="25"/>
      <c r="J170" s="37"/>
      <c r="K170" s="38"/>
      <c r="L170" s="39"/>
    </row>
    <row r="171" spans="1:12" ht="33" customHeight="1">
      <c r="A171" s="25"/>
      <c r="B171" s="25"/>
      <c r="C171" s="25"/>
      <c r="D171" s="25"/>
      <c r="E171" s="25"/>
      <c r="J171" s="37"/>
      <c r="K171" s="38"/>
      <c r="L171" s="39"/>
    </row>
    <row r="172" spans="1:12" ht="33" customHeight="1">
      <c r="A172" s="25"/>
      <c r="B172" s="25"/>
      <c r="C172" s="25"/>
      <c r="D172" s="25"/>
      <c r="E172" s="25"/>
      <c r="J172" s="37"/>
      <c r="K172" s="38"/>
      <c r="L172" s="39"/>
    </row>
    <row r="173" spans="1:12" ht="33" customHeight="1">
      <c r="A173" s="25"/>
      <c r="B173" s="25"/>
      <c r="C173" s="25"/>
      <c r="D173" s="25"/>
      <c r="E173" s="25"/>
      <c r="J173" s="37"/>
      <c r="K173" s="38"/>
      <c r="L173" s="39"/>
    </row>
    <row r="174" spans="1:12" ht="33" customHeight="1">
      <c r="A174" s="25"/>
      <c r="B174" s="25"/>
      <c r="C174" s="25"/>
      <c r="D174" s="25"/>
      <c r="E174" s="25"/>
      <c r="J174" s="37"/>
      <c r="K174" s="38"/>
      <c r="L174" s="39"/>
    </row>
    <row r="175" spans="1:12" ht="33" customHeight="1">
      <c r="A175" s="25"/>
      <c r="B175" s="25"/>
      <c r="C175" s="25"/>
      <c r="D175" s="25"/>
      <c r="E175" s="25"/>
      <c r="J175" s="37"/>
      <c r="K175" s="38"/>
      <c r="L175" s="39"/>
    </row>
    <row r="176" spans="1:12" ht="33" customHeight="1">
      <c r="A176" s="25"/>
      <c r="B176" s="25"/>
      <c r="C176" s="25"/>
      <c r="D176" s="25"/>
      <c r="E176" s="25"/>
      <c r="J176" s="37"/>
      <c r="K176" s="38"/>
      <c r="L176" s="39"/>
    </row>
    <row r="177" spans="1:12" ht="33" customHeight="1">
      <c r="A177" s="25"/>
      <c r="B177" s="25"/>
      <c r="C177" s="25"/>
      <c r="D177" s="25"/>
      <c r="E177" s="25"/>
      <c r="J177" s="37"/>
      <c r="K177" s="38"/>
      <c r="L177" s="39"/>
    </row>
    <row r="178" spans="1:12" ht="33" customHeight="1">
      <c r="A178" s="25"/>
      <c r="B178" s="25"/>
      <c r="C178" s="25"/>
      <c r="D178" s="25"/>
      <c r="E178" s="25"/>
      <c r="J178" s="37"/>
      <c r="K178" s="38"/>
      <c r="L178" s="39"/>
    </row>
    <row r="179" spans="1:12" ht="33" customHeight="1">
      <c r="A179" s="25"/>
      <c r="B179" s="25"/>
      <c r="C179" s="25"/>
      <c r="D179" s="25"/>
      <c r="E179" s="25"/>
      <c r="J179" s="37"/>
      <c r="K179" s="38"/>
      <c r="L179" s="39"/>
    </row>
    <row r="180" spans="1:12" ht="33" customHeight="1">
      <c r="A180" s="25"/>
      <c r="B180" s="25"/>
      <c r="C180" s="25"/>
      <c r="D180" s="25"/>
      <c r="E180" s="25"/>
      <c r="J180" s="37"/>
      <c r="K180" s="38"/>
      <c r="L180" s="39"/>
    </row>
    <row r="181" spans="1:12" ht="33" customHeight="1">
      <c r="A181" s="25"/>
      <c r="B181" s="25"/>
      <c r="C181" s="25"/>
      <c r="D181" s="25"/>
      <c r="E181" s="25"/>
      <c r="J181" s="37"/>
      <c r="K181" s="38"/>
      <c r="L181" s="39"/>
    </row>
    <row r="182" spans="1:12" ht="33" customHeight="1">
      <c r="A182" s="25"/>
      <c r="B182" s="25"/>
      <c r="C182" s="25"/>
      <c r="D182" s="25"/>
      <c r="E182" s="25"/>
      <c r="J182" s="37"/>
      <c r="K182" s="38"/>
      <c r="L182" s="39"/>
    </row>
    <row r="183" spans="1:12" ht="33" customHeight="1">
      <c r="A183" s="25"/>
      <c r="B183" s="25"/>
      <c r="C183" s="25"/>
      <c r="D183" s="25"/>
      <c r="E183" s="25"/>
      <c r="J183" s="37"/>
      <c r="K183" s="38"/>
      <c r="L183" s="39"/>
    </row>
    <row r="184" spans="1:12" ht="33" customHeight="1">
      <c r="A184" s="25"/>
      <c r="B184" s="25"/>
      <c r="C184" s="25"/>
      <c r="D184" s="25"/>
      <c r="E184" s="25"/>
      <c r="J184" s="37"/>
      <c r="K184" s="38"/>
      <c r="L184" s="39"/>
    </row>
    <row r="185" spans="1:12" ht="33" customHeight="1">
      <c r="A185" s="25"/>
      <c r="B185" s="25"/>
      <c r="C185" s="25"/>
      <c r="D185" s="25"/>
      <c r="E185" s="25"/>
      <c r="J185" s="37"/>
      <c r="K185" s="38"/>
      <c r="L185" s="39"/>
    </row>
    <row r="186" spans="1:12" ht="33" customHeight="1">
      <c r="A186" s="25"/>
      <c r="B186" s="25"/>
      <c r="C186" s="25"/>
      <c r="D186" s="25"/>
      <c r="E186" s="25"/>
      <c r="J186" s="26"/>
      <c r="K186" s="40"/>
      <c r="L186" s="41"/>
    </row>
    <row r="187" spans="1:12" ht="33" customHeight="1">
      <c r="A187" s="25"/>
      <c r="B187" s="25"/>
      <c r="C187" s="25"/>
      <c r="D187" s="25"/>
      <c r="E187" s="25"/>
      <c r="J187" s="26"/>
      <c r="K187" s="40"/>
      <c r="L187" s="41"/>
    </row>
    <row r="188" spans="1:12" ht="33" customHeight="1">
      <c r="A188" s="25"/>
      <c r="B188" s="25"/>
      <c r="C188" s="25"/>
      <c r="D188" s="25"/>
      <c r="E188" s="25"/>
      <c r="J188" s="26"/>
      <c r="K188" s="40"/>
      <c r="L188" s="41"/>
    </row>
    <row r="189" spans="1:12" ht="33" customHeight="1">
      <c r="A189" s="25"/>
      <c r="B189" s="25"/>
      <c r="C189" s="25"/>
      <c r="D189" s="25"/>
      <c r="E189" s="25"/>
      <c r="J189" s="26"/>
      <c r="K189" s="40"/>
      <c r="L189" s="41"/>
    </row>
    <row r="190" spans="1:12" ht="33" customHeight="1">
      <c r="A190" s="25"/>
      <c r="B190" s="25"/>
      <c r="C190" s="25"/>
      <c r="D190" s="25"/>
      <c r="E190" s="25"/>
      <c r="J190" s="26"/>
      <c r="K190" s="40"/>
      <c r="L190" s="41"/>
    </row>
    <row r="191" spans="1:12" ht="33" customHeight="1">
      <c r="A191" s="25"/>
      <c r="B191" s="25"/>
      <c r="C191" s="25"/>
      <c r="D191" s="25"/>
      <c r="E191" s="25"/>
      <c r="J191" s="26"/>
      <c r="K191" s="40"/>
      <c r="L191" s="41"/>
    </row>
    <row r="192" spans="1:12" ht="33" customHeight="1">
      <c r="A192" s="25"/>
      <c r="B192" s="25"/>
      <c r="C192" s="25"/>
      <c r="D192" s="25"/>
      <c r="E192" s="25"/>
      <c r="J192" s="26"/>
      <c r="K192" s="40"/>
      <c r="L192" s="41"/>
    </row>
    <row r="193" spans="1:12" ht="33" customHeight="1">
      <c r="A193" s="25"/>
      <c r="B193" s="25"/>
      <c r="C193" s="25"/>
      <c r="D193" s="25"/>
      <c r="E193" s="25"/>
      <c r="J193" s="26"/>
      <c r="K193" s="40"/>
      <c r="L193" s="41"/>
    </row>
    <row r="194" spans="1:12" ht="33" customHeight="1">
      <c r="A194" s="25"/>
      <c r="B194" s="25"/>
      <c r="C194" s="25"/>
      <c r="D194" s="25"/>
      <c r="E194" s="25"/>
      <c r="J194" s="26"/>
      <c r="K194" s="40"/>
      <c r="L194" s="41"/>
    </row>
    <row r="195" spans="1:12" ht="33" customHeight="1">
      <c r="A195" s="25"/>
      <c r="B195" s="25"/>
      <c r="C195" s="25"/>
      <c r="D195" s="25"/>
      <c r="E195" s="25"/>
      <c r="J195" s="26"/>
      <c r="K195" s="40"/>
      <c r="L195" s="41"/>
    </row>
    <row r="196" spans="1:12" ht="33" customHeight="1">
      <c r="A196" s="25"/>
      <c r="B196" s="25"/>
      <c r="C196" s="25"/>
      <c r="D196" s="25"/>
      <c r="E196" s="25"/>
      <c r="J196" s="26"/>
      <c r="K196" s="40"/>
      <c r="L196" s="41"/>
    </row>
    <row r="197" spans="1:12" ht="33" customHeight="1">
      <c r="A197" s="25"/>
      <c r="B197" s="25"/>
      <c r="C197" s="25"/>
      <c r="D197" s="25"/>
      <c r="E197" s="25"/>
      <c r="J197" s="26"/>
      <c r="K197" s="40"/>
      <c r="L197" s="41"/>
    </row>
    <row r="198" spans="1:12" ht="33" customHeight="1">
      <c r="A198" s="25"/>
      <c r="B198" s="25"/>
      <c r="C198" s="25"/>
      <c r="D198" s="25"/>
      <c r="E198" s="25"/>
      <c r="J198" s="26"/>
      <c r="K198" s="40"/>
      <c r="L198" s="41"/>
    </row>
    <row r="199" spans="1:12" ht="33" customHeight="1">
      <c r="A199" s="25"/>
      <c r="B199" s="25"/>
      <c r="C199" s="25"/>
      <c r="D199" s="25"/>
      <c r="E199" s="25"/>
      <c r="J199" s="26"/>
      <c r="K199" s="40"/>
      <c r="L199" s="41"/>
    </row>
    <row r="200" spans="1:12" ht="33" customHeight="1">
      <c r="A200" s="25"/>
      <c r="B200" s="25"/>
      <c r="C200" s="25"/>
      <c r="D200" s="25"/>
      <c r="E200" s="25"/>
      <c r="J200" s="26"/>
      <c r="K200" s="40"/>
      <c r="L200" s="41"/>
    </row>
    <row r="201" spans="1:12" ht="33" customHeight="1">
      <c r="A201" s="25"/>
      <c r="B201" s="25"/>
      <c r="C201" s="25"/>
      <c r="D201" s="25"/>
      <c r="E201" s="25"/>
      <c r="J201" s="26"/>
      <c r="K201" s="40"/>
      <c r="L201" s="41"/>
    </row>
    <row r="202" spans="1:12" ht="33" customHeight="1">
      <c r="A202" s="25"/>
      <c r="B202" s="25"/>
      <c r="C202" s="25"/>
      <c r="D202" s="25"/>
      <c r="E202" s="25"/>
      <c r="J202" s="26"/>
      <c r="K202" s="40"/>
      <c r="L202" s="41"/>
    </row>
    <row r="203" spans="1:12" ht="33" customHeight="1">
      <c r="A203" s="25"/>
      <c r="B203" s="25"/>
      <c r="C203" s="25"/>
      <c r="D203" s="25"/>
      <c r="E203" s="25"/>
      <c r="J203" s="26"/>
      <c r="K203" s="40"/>
      <c r="L203" s="41"/>
    </row>
    <row r="204" spans="1:12" ht="33" customHeight="1">
      <c r="A204" s="25"/>
      <c r="B204" s="25"/>
      <c r="C204" s="25"/>
      <c r="D204" s="25"/>
      <c r="E204" s="25"/>
      <c r="J204" s="26"/>
      <c r="K204" s="40"/>
      <c r="L204" s="41"/>
    </row>
    <row r="205" spans="1:12" ht="33" customHeight="1">
      <c r="A205" s="25"/>
      <c r="B205" s="25"/>
      <c r="C205" s="25"/>
      <c r="D205" s="25"/>
      <c r="E205" s="25"/>
      <c r="J205" s="26"/>
      <c r="K205" s="40"/>
      <c r="L205" s="41"/>
    </row>
    <row r="206" spans="1:12" ht="33" customHeight="1">
      <c r="A206" s="25"/>
      <c r="B206" s="25"/>
      <c r="C206" s="25"/>
      <c r="D206" s="25"/>
      <c r="E206" s="25"/>
      <c r="J206" s="26"/>
      <c r="K206" s="40"/>
      <c r="L206" s="41"/>
    </row>
    <row r="207" spans="1:12" ht="33" customHeight="1">
      <c r="A207" s="25"/>
      <c r="B207" s="25"/>
      <c r="C207" s="25"/>
      <c r="D207" s="25"/>
      <c r="E207" s="25"/>
      <c r="J207" s="26"/>
      <c r="K207" s="40"/>
      <c r="L207" s="41"/>
    </row>
    <row r="208" spans="1:12" ht="33" customHeight="1">
      <c r="A208" s="25"/>
      <c r="B208" s="25"/>
      <c r="C208" s="25"/>
      <c r="D208" s="25"/>
      <c r="E208" s="25"/>
      <c r="J208" s="26"/>
      <c r="K208" s="40"/>
      <c r="L208" s="41"/>
    </row>
    <row r="209" spans="1:12" ht="33" customHeight="1">
      <c r="A209" s="25"/>
      <c r="B209" s="25"/>
      <c r="C209" s="25"/>
      <c r="D209" s="25"/>
      <c r="E209" s="25"/>
      <c r="J209" s="26"/>
      <c r="K209" s="40"/>
      <c r="L209" s="41"/>
    </row>
    <row r="210" spans="1:12" ht="33" customHeight="1">
      <c r="A210" s="25"/>
      <c r="B210" s="25"/>
      <c r="C210" s="25"/>
      <c r="D210" s="25"/>
      <c r="E210" s="25"/>
      <c r="J210" s="26"/>
      <c r="K210" s="40"/>
      <c r="L210" s="41"/>
    </row>
    <row r="211" spans="1:12" ht="33" customHeight="1">
      <c r="A211" s="25"/>
      <c r="B211" s="25"/>
      <c r="C211" s="25"/>
      <c r="D211" s="25"/>
      <c r="E211" s="25"/>
      <c r="J211" s="26"/>
      <c r="K211" s="40"/>
      <c r="L211" s="41"/>
    </row>
    <row r="212" spans="1:12" ht="33" customHeight="1">
      <c r="A212" s="25"/>
      <c r="B212" s="25"/>
      <c r="C212" s="25"/>
      <c r="D212" s="25"/>
      <c r="E212" s="25"/>
      <c r="J212" s="26"/>
      <c r="K212" s="40"/>
      <c r="L212" s="41"/>
    </row>
    <row r="213" spans="1:12" ht="33" customHeight="1">
      <c r="A213" s="25"/>
      <c r="B213" s="25"/>
      <c r="C213" s="25"/>
      <c r="D213" s="25"/>
      <c r="E213" s="25"/>
      <c r="J213" s="26"/>
      <c r="K213" s="40"/>
      <c r="L213" s="41"/>
    </row>
    <row r="214" spans="1:12" ht="33" customHeight="1">
      <c r="A214" s="25"/>
      <c r="B214" s="25"/>
      <c r="C214" s="25"/>
      <c r="D214" s="25"/>
      <c r="E214" s="25"/>
      <c r="J214" s="26"/>
      <c r="K214" s="40"/>
      <c r="L214" s="41"/>
    </row>
    <row r="215" spans="1:12" ht="33" customHeight="1">
      <c r="A215" s="25"/>
      <c r="B215" s="25"/>
      <c r="C215" s="25"/>
      <c r="D215" s="25"/>
      <c r="E215" s="25"/>
      <c r="J215" s="26"/>
      <c r="K215" s="40"/>
      <c r="L215" s="41"/>
    </row>
    <row r="216" spans="1:12" ht="33" customHeight="1">
      <c r="A216" s="25"/>
      <c r="B216" s="25"/>
      <c r="C216" s="25"/>
      <c r="D216" s="25"/>
      <c r="E216" s="25"/>
      <c r="J216" s="26"/>
      <c r="K216" s="40"/>
      <c r="L216" s="41"/>
    </row>
    <row r="217" spans="1:12" ht="33" customHeight="1">
      <c r="A217" s="25"/>
      <c r="B217" s="25"/>
      <c r="C217" s="25"/>
      <c r="D217" s="25"/>
      <c r="E217" s="25"/>
      <c r="J217" s="26"/>
      <c r="K217" s="40"/>
      <c r="L217" s="41"/>
    </row>
    <row r="218" spans="1:12" ht="33" customHeight="1">
      <c r="A218" s="25"/>
      <c r="B218" s="25"/>
      <c r="C218" s="25"/>
      <c r="D218" s="25"/>
      <c r="E218" s="25"/>
      <c r="J218" s="26"/>
      <c r="K218" s="40"/>
      <c r="L218" s="41"/>
    </row>
    <row r="219" spans="1:12" ht="33" customHeight="1">
      <c r="A219" s="25"/>
      <c r="B219" s="25"/>
      <c r="C219" s="25"/>
      <c r="D219" s="25"/>
      <c r="E219" s="25"/>
      <c r="J219" s="26"/>
      <c r="K219" s="40"/>
      <c r="L219" s="41"/>
    </row>
    <row r="220" spans="1:12" ht="33" customHeight="1">
      <c r="A220" s="25"/>
      <c r="B220" s="25"/>
      <c r="C220" s="25"/>
      <c r="D220" s="25"/>
      <c r="E220" s="25"/>
      <c r="J220" s="26"/>
      <c r="K220" s="40"/>
      <c r="L220" s="41"/>
    </row>
    <row r="221" spans="1:12" ht="33" customHeight="1">
      <c r="A221" s="25"/>
      <c r="B221" s="25"/>
      <c r="C221" s="25"/>
      <c r="D221" s="25"/>
      <c r="E221" s="25"/>
      <c r="J221" s="26"/>
      <c r="K221" s="40"/>
      <c r="L221" s="41"/>
    </row>
    <row r="222" spans="1:12" ht="33" customHeight="1">
      <c r="A222" s="25"/>
      <c r="B222" s="25"/>
      <c r="C222" s="25"/>
      <c r="D222" s="25"/>
      <c r="E222" s="25"/>
      <c r="J222" s="26"/>
      <c r="K222" s="40"/>
      <c r="L222" s="41"/>
    </row>
    <row r="223" spans="1:12" ht="33" customHeight="1">
      <c r="A223" s="25"/>
      <c r="B223" s="25"/>
      <c r="C223" s="25"/>
      <c r="D223" s="25"/>
      <c r="E223" s="25"/>
      <c r="J223" s="26"/>
      <c r="K223" s="40"/>
      <c r="L223" s="41"/>
    </row>
    <row r="224" spans="1:12" ht="33" customHeight="1">
      <c r="A224" s="25"/>
      <c r="B224" s="25"/>
      <c r="C224" s="25"/>
      <c r="D224" s="25"/>
      <c r="E224" s="25"/>
      <c r="J224" s="26"/>
      <c r="K224" s="40"/>
      <c r="L224" s="41"/>
    </row>
    <row r="225" spans="1:12" ht="33" customHeight="1">
      <c r="A225" s="25"/>
      <c r="B225" s="25"/>
      <c r="C225" s="25"/>
      <c r="D225" s="25"/>
      <c r="E225" s="25"/>
      <c r="J225" s="26"/>
      <c r="K225" s="40"/>
      <c r="L225" s="41"/>
    </row>
    <row r="226" spans="1:12" ht="33" customHeight="1">
      <c r="A226" s="25"/>
      <c r="B226" s="25"/>
      <c r="C226" s="25"/>
      <c r="D226" s="25"/>
      <c r="E226" s="25"/>
      <c r="J226" s="26"/>
      <c r="K226" s="40"/>
      <c r="L226" s="41"/>
    </row>
    <row r="227" spans="1:12" ht="33" customHeight="1">
      <c r="A227" s="25"/>
      <c r="B227" s="25"/>
      <c r="C227" s="25"/>
      <c r="D227" s="25"/>
      <c r="E227" s="25"/>
      <c r="J227" s="26"/>
      <c r="K227" s="40"/>
      <c r="L227" s="41"/>
    </row>
    <row r="228" spans="1:12" ht="33" customHeight="1">
      <c r="A228" s="25"/>
      <c r="B228" s="25"/>
      <c r="C228" s="25"/>
      <c r="D228" s="25"/>
      <c r="E228" s="25"/>
      <c r="J228" s="26"/>
      <c r="K228" s="40"/>
      <c r="L228" s="41"/>
    </row>
    <row r="229" spans="1:12" ht="33" customHeight="1">
      <c r="A229" s="25"/>
      <c r="B229" s="25"/>
      <c r="C229" s="25"/>
      <c r="D229" s="25"/>
      <c r="E229" s="25"/>
      <c r="J229" s="26"/>
      <c r="K229" s="40"/>
      <c r="L229" s="41"/>
    </row>
    <row r="230" spans="1:12" ht="33" customHeight="1">
      <c r="A230" s="25"/>
      <c r="B230" s="25"/>
      <c r="C230" s="25"/>
      <c r="D230" s="25"/>
      <c r="E230" s="25"/>
      <c r="J230" s="26"/>
      <c r="K230" s="40"/>
      <c r="L230" s="41"/>
    </row>
    <row r="231" spans="1:12" ht="33" customHeight="1">
      <c r="A231" s="25"/>
      <c r="B231" s="25"/>
      <c r="C231" s="25"/>
      <c r="D231" s="25"/>
      <c r="E231" s="25"/>
      <c r="J231" s="26"/>
      <c r="K231" s="40"/>
      <c r="L231" s="41"/>
    </row>
    <row r="232" spans="1:12" ht="33" customHeight="1">
      <c r="A232" s="25"/>
      <c r="B232" s="25"/>
      <c r="C232" s="25"/>
      <c r="D232" s="25"/>
      <c r="E232" s="25"/>
      <c r="J232" s="26"/>
      <c r="K232" s="40"/>
      <c r="L232" s="41"/>
    </row>
    <row r="233" spans="1:12" ht="33" customHeight="1">
      <c r="A233" s="25"/>
      <c r="B233" s="25"/>
      <c r="C233" s="25"/>
      <c r="D233" s="25"/>
      <c r="E233" s="25"/>
      <c r="J233" s="26"/>
      <c r="K233" s="40"/>
      <c r="L233" s="41"/>
    </row>
    <row r="234" spans="1:12" ht="33" customHeight="1">
      <c r="A234" s="25"/>
      <c r="B234" s="25"/>
      <c r="C234" s="25"/>
      <c r="D234" s="25"/>
      <c r="E234" s="25"/>
      <c r="J234" s="26"/>
      <c r="K234" s="40"/>
      <c r="L234" s="41"/>
    </row>
    <row r="235" spans="1:12" ht="33" customHeight="1">
      <c r="A235" s="25"/>
      <c r="B235" s="25"/>
      <c r="C235" s="25"/>
      <c r="D235" s="25"/>
      <c r="E235" s="25"/>
      <c r="J235" s="26"/>
      <c r="K235" s="40"/>
      <c r="L235" s="41"/>
    </row>
    <row r="236" spans="1:12" ht="33" customHeight="1">
      <c r="A236" s="25"/>
      <c r="B236" s="25"/>
      <c r="C236" s="25"/>
      <c r="D236" s="25"/>
      <c r="E236" s="25"/>
      <c r="J236" s="26"/>
      <c r="K236" s="40"/>
      <c r="L236" s="41"/>
    </row>
    <row r="237" spans="1:12" ht="33" customHeight="1">
      <c r="A237" s="25"/>
      <c r="B237" s="25"/>
      <c r="C237" s="25"/>
      <c r="D237" s="25"/>
      <c r="E237" s="25"/>
      <c r="J237" s="26"/>
      <c r="K237" s="40"/>
      <c r="L237" s="41"/>
    </row>
  </sheetData>
  <conditionalFormatting sqref="L1:L237">
    <cfRule type="cellIs" dxfId="3" priority="1" operator="between">
      <formula>9</formula>
      <formula>36</formula>
    </cfRule>
  </conditionalFormatting>
  <conditionalFormatting sqref="L1:L237">
    <cfRule type="cellIs" dxfId="2" priority="2" operator="between">
      <formula>1</formula>
      <formula>8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7"/>
  <sheetViews>
    <sheetView tabSelected="1" topLeftCell="A7" workbookViewId="0">
      <selection activeCell="A14" sqref="A14"/>
    </sheetView>
  </sheetViews>
  <sheetFormatPr defaultColWidth="14.44140625" defaultRowHeight="15" customHeight="1"/>
  <cols>
    <col min="1" max="1" width="29.44140625" customWidth="1"/>
    <col min="2" max="2" width="8.6640625" customWidth="1"/>
    <col min="3" max="3" width="13.88671875" customWidth="1"/>
    <col min="4" max="4" width="18.5546875" customWidth="1"/>
    <col min="5" max="5" width="19.6640625" customWidth="1"/>
    <col min="6" max="7" width="8.6640625" customWidth="1"/>
    <col min="8" max="8" width="13.109375" customWidth="1"/>
    <col min="9" max="10" width="8.6640625" customWidth="1"/>
    <col min="11" max="12" width="11.6640625" customWidth="1"/>
  </cols>
  <sheetData>
    <row r="1" spans="1:12" ht="33" customHeight="1">
      <c r="A1" s="28" t="s">
        <v>0</v>
      </c>
      <c r="B1" s="29" t="s">
        <v>8</v>
      </c>
      <c r="C1" s="30" t="s">
        <v>9</v>
      </c>
      <c r="D1" s="30" t="s">
        <v>10</v>
      </c>
      <c r="E1" s="31" t="s">
        <v>11</v>
      </c>
      <c r="F1" s="32">
        <v>1</v>
      </c>
      <c r="G1" s="10">
        <v>2</v>
      </c>
      <c r="H1" s="10">
        <v>3</v>
      </c>
      <c r="I1" s="10">
        <v>4</v>
      </c>
      <c r="J1" s="10">
        <v>5</v>
      </c>
      <c r="K1" s="33" t="s">
        <v>66</v>
      </c>
      <c r="L1" s="34" t="s">
        <v>67</v>
      </c>
    </row>
    <row r="2" spans="1:12" ht="33" customHeight="1">
      <c r="A2" s="14" t="s">
        <v>65</v>
      </c>
      <c r="B2" s="14" t="s">
        <v>20</v>
      </c>
      <c r="C2" s="14">
        <v>5</v>
      </c>
      <c r="D2" s="14">
        <v>20</v>
      </c>
      <c r="E2" s="14" t="s">
        <v>29</v>
      </c>
      <c r="F2" s="18">
        <v>790</v>
      </c>
      <c r="G2" s="18">
        <v>851</v>
      </c>
      <c r="H2" s="18">
        <v>826</v>
      </c>
      <c r="I2" s="18">
        <v>821</v>
      </c>
      <c r="J2" s="20">
        <v>20</v>
      </c>
      <c r="K2" s="35">
        <v>3308</v>
      </c>
      <c r="L2" s="36">
        <v>1</v>
      </c>
    </row>
    <row r="3" spans="1:12" ht="33" customHeight="1">
      <c r="A3" s="24" t="s">
        <v>33</v>
      </c>
      <c r="B3" s="23" t="s">
        <v>16</v>
      </c>
      <c r="C3" s="23">
        <v>0</v>
      </c>
      <c r="D3" s="23">
        <v>0</v>
      </c>
      <c r="E3" s="23" t="s">
        <v>29</v>
      </c>
      <c r="F3" s="18">
        <v>851</v>
      </c>
      <c r="G3" s="18">
        <v>917</v>
      </c>
      <c r="H3" s="18">
        <v>749</v>
      </c>
      <c r="I3" s="18">
        <v>775</v>
      </c>
      <c r="J3" s="20">
        <v>0</v>
      </c>
      <c r="K3" s="35">
        <v>3292</v>
      </c>
      <c r="L3" s="36">
        <v>2</v>
      </c>
    </row>
    <row r="4" spans="1:12" ht="33" customHeight="1">
      <c r="A4" s="14" t="s">
        <v>57</v>
      </c>
      <c r="B4" s="14" t="s">
        <v>22</v>
      </c>
      <c r="C4" s="14">
        <v>10</v>
      </c>
      <c r="D4" s="14">
        <v>40</v>
      </c>
      <c r="E4" s="14" t="s">
        <v>17</v>
      </c>
      <c r="F4" s="18">
        <v>868</v>
      </c>
      <c r="G4" s="18">
        <v>921</v>
      </c>
      <c r="H4" s="18">
        <v>723</v>
      </c>
      <c r="I4" s="18">
        <v>722</v>
      </c>
      <c r="J4" s="20">
        <v>40</v>
      </c>
      <c r="K4" s="35">
        <v>3234</v>
      </c>
      <c r="L4" s="36">
        <v>3</v>
      </c>
    </row>
    <row r="5" spans="1:12" ht="33" customHeight="1">
      <c r="A5" s="14" t="s">
        <v>21</v>
      </c>
      <c r="B5" s="14" t="s">
        <v>22</v>
      </c>
      <c r="C5" s="14">
        <v>10</v>
      </c>
      <c r="D5" s="14">
        <v>40</v>
      </c>
      <c r="E5" s="14" t="s">
        <v>23</v>
      </c>
      <c r="F5" s="18">
        <v>892</v>
      </c>
      <c r="G5" s="18">
        <v>663</v>
      </c>
      <c r="H5" s="18">
        <v>711</v>
      </c>
      <c r="I5" s="18">
        <v>811</v>
      </c>
      <c r="J5" s="20">
        <v>40</v>
      </c>
      <c r="K5" s="35">
        <v>3117</v>
      </c>
      <c r="L5" s="36">
        <v>4</v>
      </c>
    </row>
    <row r="6" spans="1:12" ht="33" customHeight="1">
      <c r="A6" s="14" t="s">
        <v>54</v>
      </c>
      <c r="B6" s="14" t="s">
        <v>22</v>
      </c>
      <c r="C6" s="14">
        <v>10</v>
      </c>
      <c r="D6" s="14">
        <v>40</v>
      </c>
      <c r="E6" s="14" t="s">
        <v>17</v>
      </c>
      <c r="F6" s="18">
        <v>808</v>
      </c>
      <c r="G6" s="18">
        <v>871</v>
      </c>
      <c r="H6" s="18">
        <v>696</v>
      </c>
      <c r="I6" s="18">
        <v>740</v>
      </c>
      <c r="J6" s="20">
        <v>40</v>
      </c>
      <c r="K6" s="35">
        <v>3115</v>
      </c>
      <c r="L6" s="36">
        <v>5</v>
      </c>
    </row>
    <row r="7" spans="1:12" ht="33" customHeight="1">
      <c r="A7" s="14" t="s">
        <v>53</v>
      </c>
      <c r="B7" s="14" t="s">
        <v>31</v>
      </c>
      <c r="C7" s="14">
        <v>30</v>
      </c>
      <c r="D7" s="14">
        <v>120</v>
      </c>
      <c r="E7" s="14" t="s">
        <v>17</v>
      </c>
      <c r="F7" s="18">
        <v>777</v>
      </c>
      <c r="G7" s="18">
        <v>715</v>
      </c>
      <c r="H7" s="18">
        <v>716</v>
      </c>
      <c r="I7" s="18">
        <v>762</v>
      </c>
      <c r="J7" s="20">
        <v>120</v>
      </c>
      <c r="K7" s="35">
        <v>3090</v>
      </c>
      <c r="L7" s="36">
        <v>6</v>
      </c>
    </row>
    <row r="8" spans="1:12" ht="33" customHeight="1">
      <c r="A8" s="14" t="s">
        <v>26</v>
      </c>
      <c r="B8" s="14" t="s">
        <v>22</v>
      </c>
      <c r="C8" s="14">
        <v>10</v>
      </c>
      <c r="D8" s="14">
        <v>40</v>
      </c>
      <c r="E8" s="14" t="s">
        <v>23</v>
      </c>
      <c r="F8" s="18">
        <v>729</v>
      </c>
      <c r="G8" s="18">
        <v>748</v>
      </c>
      <c r="H8" s="18">
        <v>791</v>
      </c>
      <c r="I8" s="18">
        <v>758</v>
      </c>
      <c r="J8" s="20">
        <v>40</v>
      </c>
      <c r="K8" s="35">
        <v>3066</v>
      </c>
      <c r="L8" s="36">
        <v>7</v>
      </c>
    </row>
    <row r="9" spans="1:12" ht="33" customHeight="1">
      <c r="A9" s="14" t="s">
        <v>25</v>
      </c>
      <c r="B9" s="14" t="s">
        <v>22</v>
      </c>
      <c r="C9" s="14">
        <v>10</v>
      </c>
      <c r="D9" s="14">
        <v>40</v>
      </c>
      <c r="E9" s="14" t="s">
        <v>23</v>
      </c>
      <c r="F9" s="18">
        <v>814</v>
      </c>
      <c r="G9" s="18">
        <v>759</v>
      </c>
      <c r="H9" s="18">
        <v>688</v>
      </c>
      <c r="I9" s="18">
        <v>721</v>
      </c>
      <c r="J9" s="20">
        <v>40</v>
      </c>
      <c r="K9" s="35">
        <v>3022</v>
      </c>
      <c r="L9" s="36">
        <v>8</v>
      </c>
    </row>
    <row r="10" spans="1:12" ht="33" customHeight="1">
      <c r="A10" s="14" t="s">
        <v>30</v>
      </c>
      <c r="B10" s="14" t="s">
        <v>31</v>
      </c>
      <c r="C10" s="14">
        <v>30</v>
      </c>
      <c r="D10" s="14">
        <v>120</v>
      </c>
      <c r="E10" s="14" t="s">
        <v>29</v>
      </c>
      <c r="F10" s="18">
        <v>679</v>
      </c>
      <c r="G10" s="18">
        <v>784</v>
      </c>
      <c r="H10" s="18">
        <v>703</v>
      </c>
      <c r="I10" s="18">
        <v>653</v>
      </c>
      <c r="J10" s="20">
        <v>120</v>
      </c>
      <c r="K10" s="35">
        <v>2939</v>
      </c>
      <c r="L10" s="36">
        <v>9</v>
      </c>
    </row>
    <row r="11" spans="1:12" ht="33" customHeight="1">
      <c r="A11" s="14" t="s">
        <v>32</v>
      </c>
      <c r="B11" s="14" t="s">
        <v>22</v>
      </c>
      <c r="C11" s="14">
        <v>10</v>
      </c>
      <c r="D11" s="14">
        <v>40</v>
      </c>
      <c r="E11" s="14" t="s">
        <v>29</v>
      </c>
      <c r="F11" s="18">
        <v>658</v>
      </c>
      <c r="G11" s="18">
        <v>782</v>
      </c>
      <c r="H11" s="18">
        <v>719</v>
      </c>
      <c r="I11" s="18">
        <v>736</v>
      </c>
      <c r="J11" s="20">
        <v>40</v>
      </c>
      <c r="K11" s="35">
        <v>2935</v>
      </c>
      <c r="L11" s="36">
        <v>10</v>
      </c>
    </row>
    <row r="12" spans="1:12" ht="33" customHeight="1">
      <c r="A12" s="14" t="s">
        <v>27</v>
      </c>
      <c r="B12" s="14" t="s">
        <v>28</v>
      </c>
      <c r="C12" s="14">
        <v>20</v>
      </c>
      <c r="D12" s="14">
        <v>80</v>
      </c>
      <c r="E12" s="14" t="s">
        <v>29</v>
      </c>
      <c r="F12" s="18">
        <v>743</v>
      </c>
      <c r="G12" s="18">
        <v>693</v>
      </c>
      <c r="H12" s="18">
        <v>733</v>
      </c>
      <c r="I12" s="18">
        <v>657</v>
      </c>
      <c r="J12" s="20">
        <v>80</v>
      </c>
      <c r="K12" s="35">
        <v>2906</v>
      </c>
      <c r="L12" s="36">
        <v>11</v>
      </c>
    </row>
    <row r="13" spans="1:12" ht="33" customHeight="1">
      <c r="A13" s="14" t="s">
        <v>24</v>
      </c>
      <c r="B13" s="14" t="s">
        <v>22</v>
      </c>
      <c r="C13" s="14">
        <v>10</v>
      </c>
      <c r="D13" s="14">
        <v>40</v>
      </c>
      <c r="E13" s="14" t="s">
        <v>23</v>
      </c>
      <c r="F13" s="18">
        <v>706</v>
      </c>
      <c r="G13" s="18">
        <v>742</v>
      </c>
      <c r="H13" s="18">
        <v>645</v>
      </c>
      <c r="I13" s="18">
        <v>742</v>
      </c>
      <c r="J13" s="20">
        <v>40</v>
      </c>
      <c r="K13" s="35">
        <v>2875</v>
      </c>
      <c r="L13" s="36">
        <v>12</v>
      </c>
    </row>
    <row r="14" spans="1:12" ht="33" customHeight="1">
      <c r="A14" s="14" t="s">
        <v>68</v>
      </c>
      <c r="B14" s="14" t="s">
        <v>43</v>
      </c>
      <c r="C14" s="14">
        <v>25</v>
      </c>
      <c r="D14" s="14">
        <v>100</v>
      </c>
      <c r="E14" s="14" t="s">
        <v>23</v>
      </c>
      <c r="F14" s="18">
        <v>850</v>
      </c>
      <c r="G14" s="18">
        <v>858</v>
      </c>
      <c r="H14" s="18">
        <v>866</v>
      </c>
      <c r="I14" s="18">
        <v>100</v>
      </c>
      <c r="J14" s="20">
        <v>100</v>
      </c>
      <c r="K14" s="35">
        <v>2774</v>
      </c>
      <c r="L14" s="36">
        <v>13</v>
      </c>
    </row>
    <row r="15" spans="1:12" ht="33" customHeight="1">
      <c r="A15" s="14" t="s">
        <v>34</v>
      </c>
      <c r="B15" s="14" t="s">
        <v>16</v>
      </c>
      <c r="C15" s="14">
        <v>0</v>
      </c>
      <c r="D15" s="14">
        <v>0</v>
      </c>
      <c r="E15" s="14" t="s">
        <v>35</v>
      </c>
      <c r="F15" s="18">
        <v>890</v>
      </c>
      <c r="G15" s="18">
        <v>857</v>
      </c>
      <c r="H15" s="18">
        <v>818</v>
      </c>
      <c r="I15" s="18">
        <v>0</v>
      </c>
      <c r="J15" s="20">
        <v>0</v>
      </c>
      <c r="K15" s="35">
        <v>2565</v>
      </c>
      <c r="L15" s="36">
        <v>14</v>
      </c>
    </row>
    <row r="16" spans="1:12" ht="33" customHeight="1">
      <c r="A16" s="14" t="s">
        <v>55</v>
      </c>
      <c r="B16" s="14" t="s">
        <v>28</v>
      </c>
      <c r="C16" s="14">
        <v>20</v>
      </c>
      <c r="D16" s="14">
        <v>80</v>
      </c>
      <c r="E16" s="14" t="s">
        <v>17</v>
      </c>
      <c r="F16" s="18">
        <v>769</v>
      </c>
      <c r="G16" s="18">
        <v>825</v>
      </c>
      <c r="H16" s="18">
        <v>809</v>
      </c>
      <c r="I16" s="18">
        <v>80</v>
      </c>
      <c r="J16" s="20">
        <v>80</v>
      </c>
      <c r="K16" s="35">
        <v>2563</v>
      </c>
      <c r="L16" s="36">
        <v>15</v>
      </c>
    </row>
    <row r="17" spans="1:12" ht="33" customHeight="1">
      <c r="A17" s="14" t="s">
        <v>18</v>
      </c>
      <c r="B17" s="14" t="s">
        <v>16</v>
      </c>
      <c r="C17" s="14">
        <v>0</v>
      </c>
      <c r="D17" s="14">
        <v>0</v>
      </c>
      <c r="E17" s="14" t="s">
        <v>17</v>
      </c>
      <c r="F17" s="18">
        <v>884</v>
      </c>
      <c r="G17" s="18">
        <v>827</v>
      </c>
      <c r="H17" s="18">
        <v>816</v>
      </c>
      <c r="I17" s="18">
        <v>0</v>
      </c>
      <c r="J17" s="20">
        <v>0</v>
      </c>
      <c r="K17" s="35">
        <v>2527</v>
      </c>
      <c r="L17" s="36">
        <v>16</v>
      </c>
    </row>
    <row r="18" spans="1:12" ht="33" customHeight="1">
      <c r="A18" s="14" t="s">
        <v>47</v>
      </c>
      <c r="B18" s="14" t="s">
        <v>22</v>
      </c>
      <c r="C18" s="14">
        <v>10</v>
      </c>
      <c r="D18" s="14">
        <v>40</v>
      </c>
      <c r="E18" s="14" t="s">
        <v>17</v>
      </c>
      <c r="F18" s="18">
        <v>836</v>
      </c>
      <c r="G18" s="18">
        <v>812</v>
      </c>
      <c r="H18" s="18">
        <v>793</v>
      </c>
      <c r="I18" s="18">
        <v>40</v>
      </c>
      <c r="J18" s="20">
        <v>40</v>
      </c>
      <c r="K18" s="35">
        <v>2521</v>
      </c>
      <c r="L18" s="36">
        <v>17</v>
      </c>
    </row>
    <row r="19" spans="1:12" ht="33" customHeight="1">
      <c r="A19" s="14" t="s">
        <v>37</v>
      </c>
      <c r="B19" s="14" t="s">
        <v>20</v>
      </c>
      <c r="C19" s="14">
        <v>5</v>
      </c>
      <c r="D19" s="14">
        <v>20</v>
      </c>
      <c r="E19" s="14" t="s">
        <v>35</v>
      </c>
      <c r="F19" s="18">
        <v>819</v>
      </c>
      <c r="G19" s="18">
        <v>793</v>
      </c>
      <c r="H19" s="18">
        <v>856</v>
      </c>
      <c r="I19" s="18">
        <v>20</v>
      </c>
      <c r="J19" s="20">
        <v>20</v>
      </c>
      <c r="K19" s="35">
        <v>2508</v>
      </c>
      <c r="L19" s="36">
        <v>18</v>
      </c>
    </row>
    <row r="20" spans="1:12" ht="33" customHeight="1">
      <c r="A20" s="14" t="s">
        <v>19</v>
      </c>
      <c r="B20" s="14" t="s">
        <v>20</v>
      </c>
      <c r="C20" s="14">
        <v>5</v>
      </c>
      <c r="D20" s="14">
        <v>20</v>
      </c>
      <c r="E20" s="14" t="s">
        <v>17</v>
      </c>
      <c r="F20" s="18">
        <v>811</v>
      </c>
      <c r="G20" s="18">
        <v>886</v>
      </c>
      <c r="H20" s="18">
        <v>750</v>
      </c>
      <c r="I20" s="18">
        <v>20</v>
      </c>
      <c r="J20" s="20">
        <v>20</v>
      </c>
      <c r="K20" s="35">
        <v>2487</v>
      </c>
      <c r="L20" s="36">
        <v>19</v>
      </c>
    </row>
    <row r="21" spans="1:12" ht="33" customHeight="1">
      <c r="A21" s="14" t="s">
        <v>49</v>
      </c>
      <c r="B21" s="14" t="s">
        <v>50</v>
      </c>
      <c r="C21" s="23">
        <v>30</v>
      </c>
      <c r="D21" s="14">
        <v>120</v>
      </c>
      <c r="E21" s="14" t="s">
        <v>17</v>
      </c>
      <c r="F21" s="18">
        <v>760</v>
      </c>
      <c r="G21" s="18">
        <v>727</v>
      </c>
      <c r="H21" s="18">
        <v>759</v>
      </c>
      <c r="I21" s="18">
        <v>120</v>
      </c>
      <c r="J21" s="20">
        <v>120</v>
      </c>
      <c r="K21" s="35">
        <v>2486</v>
      </c>
      <c r="L21" s="36">
        <v>20</v>
      </c>
    </row>
    <row r="22" spans="1:12" ht="33" customHeight="1">
      <c r="A22" s="14" t="s">
        <v>36</v>
      </c>
      <c r="B22" s="14" t="s">
        <v>16</v>
      </c>
      <c r="C22" s="14">
        <v>0</v>
      </c>
      <c r="D22" s="14">
        <v>0</v>
      </c>
      <c r="E22" s="14" t="s">
        <v>35</v>
      </c>
      <c r="F22" s="18">
        <v>823</v>
      </c>
      <c r="G22" s="18">
        <v>1017</v>
      </c>
      <c r="H22" s="18">
        <v>645</v>
      </c>
      <c r="I22" s="18">
        <v>0</v>
      </c>
      <c r="J22" s="20">
        <v>0</v>
      </c>
      <c r="K22" s="35">
        <v>2485</v>
      </c>
      <c r="L22" s="36">
        <v>21</v>
      </c>
    </row>
    <row r="23" spans="1:12" ht="33" customHeight="1">
      <c r="A23" s="14" t="s">
        <v>41</v>
      </c>
      <c r="B23" s="14" t="s">
        <v>22</v>
      </c>
      <c r="C23" s="14">
        <v>10</v>
      </c>
      <c r="D23" s="14">
        <v>40</v>
      </c>
      <c r="E23" s="14" t="s">
        <v>23</v>
      </c>
      <c r="F23" s="18">
        <v>784</v>
      </c>
      <c r="G23" s="18">
        <v>888</v>
      </c>
      <c r="H23" s="18">
        <v>727</v>
      </c>
      <c r="I23" s="18">
        <v>40</v>
      </c>
      <c r="J23" s="20">
        <v>40</v>
      </c>
      <c r="K23" s="35">
        <v>2479</v>
      </c>
      <c r="L23" s="36">
        <v>22</v>
      </c>
    </row>
    <row r="24" spans="1:12" ht="33" customHeight="1">
      <c r="A24" s="14" t="s">
        <v>62</v>
      </c>
      <c r="B24" s="14" t="s">
        <v>28</v>
      </c>
      <c r="C24" s="14">
        <v>20</v>
      </c>
      <c r="D24" s="14">
        <v>80</v>
      </c>
      <c r="E24" s="14" t="s">
        <v>29</v>
      </c>
      <c r="F24" s="18">
        <v>822</v>
      </c>
      <c r="G24" s="18">
        <v>699</v>
      </c>
      <c r="H24" s="18">
        <v>789</v>
      </c>
      <c r="I24" s="18">
        <v>80</v>
      </c>
      <c r="J24" s="20">
        <v>80</v>
      </c>
      <c r="K24" s="35">
        <v>2470</v>
      </c>
      <c r="L24" s="36">
        <v>23</v>
      </c>
    </row>
    <row r="25" spans="1:12" ht="33" customHeight="1">
      <c r="A25" s="14" t="s">
        <v>48</v>
      </c>
      <c r="B25" s="14" t="s">
        <v>20</v>
      </c>
      <c r="C25" s="14">
        <v>5</v>
      </c>
      <c r="D25" s="14">
        <v>20</v>
      </c>
      <c r="E25" s="14" t="s">
        <v>17</v>
      </c>
      <c r="F25" s="18">
        <v>873</v>
      </c>
      <c r="G25" s="18">
        <v>775</v>
      </c>
      <c r="H25" s="18">
        <v>766</v>
      </c>
      <c r="I25" s="18">
        <v>20</v>
      </c>
      <c r="J25" s="20">
        <v>20</v>
      </c>
      <c r="K25" s="35">
        <v>2454</v>
      </c>
      <c r="L25" s="36">
        <v>24</v>
      </c>
    </row>
    <row r="26" spans="1:12" ht="33" customHeight="1">
      <c r="A26" s="14" t="s">
        <v>52</v>
      </c>
      <c r="B26" s="14" t="s">
        <v>16</v>
      </c>
      <c r="C26" s="14">
        <v>0</v>
      </c>
      <c r="D26" s="14">
        <v>0</v>
      </c>
      <c r="E26" s="14" t="s">
        <v>17</v>
      </c>
      <c r="F26" s="18">
        <v>827</v>
      </c>
      <c r="G26" s="18">
        <v>845</v>
      </c>
      <c r="H26" s="18">
        <v>715</v>
      </c>
      <c r="I26" s="18">
        <v>882</v>
      </c>
      <c r="J26" s="20">
        <v>0</v>
      </c>
      <c r="K26" s="35">
        <v>2387</v>
      </c>
      <c r="L26" s="36">
        <v>25</v>
      </c>
    </row>
    <row r="27" spans="1:12" ht="33" customHeight="1">
      <c r="A27" s="14" t="s">
        <v>44</v>
      </c>
      <c r="B27" s="14" t="s">
        <v>45</v>
      </c>
      <c r="C27" s="14">
        <v>25</v>
      </c>
      <c r="D27" s="14">
        <v>100</v>
      </c>
      <c r="E27" s="14" t="s">
        <v>35</v>
      </c>
      <c r="F27" s="18">
        <v>686</v>
      </c>
      <c r="G27" s="18">
        <v>713</v>
      </c>
      <c r="H27" s="18">
        <v>719</v>
      </c>
      <c r="I27" s="18">
        <v>100</v>
      </c>
      <c r="J27" s="20">
        <v>100</v>
      </c>
      <c r="K27" s="35">
        <v>2318</v>
      </c>
      <c r="L27" s="36">
        <v>26</v>
      </c>
    </row>
    <row r="28" spans="1:12" ht="33" customHeight="1">
      <c r="A28" s="14" t="s">
        <v>58</v>
      </c>
      <c r="B28" s="14" t="s">
        <v>31</v>
      </c>
      <c r="C28" s="14">
        <v>30</v>
      </c>
      <c r="D28" s="14">
        <v>120</v>
      </c>
      <c r="E28" s="14" t="s">
        <v>59</v>
      </c>
      <c r="F28" s="18">
        <v>743</v>
      </c>
      <c r="G28" s="18">
        <v>690</v>
      </c>
      <c r="H28" s="18">
        <v>614</v>
      </c>
      <c r="I28" s="18">
        <v>120</v>
      </c>
      <c r="J28" s="20">
        <v>120</v>
      </c>
      <c r="K28" s="35">
        <v>2287</v>
      </c>
      <c r="L28" s="36">
        <v>27</v>
      </c>
    </row>
    <row r="29" spans="1:12" ht="33" customHeight="1">
      <c r="A29" s="14" t="s">
        <v>15</v>
      </c>
      <c r="B29" s="23" t="s">
        <v>16</v>
      </c>
      <c r="C29" s="14">
        <v>0</v>
      </c>
      <c r="D29" s="14">
        <v>0</v>
      </c>
      <c r="E29" s="14" t="s">
        <v>17</v>
      </c>
      <c r="F29" s="18">
        <v>801</v>
      </c>
      <c r="G29" s="18">
        <v>733</v>
      </c>
      <c r="H29" s="18">
        <v>741</v>
      </c>
      <c r="I29" s="18">
        <v>0</v>
      </c>
      <c r="J29" s="20">
        <v>0</v>
      </c>
      <c r="K29" s="35">
        <v>2275</v>
      </c>
      <c r="L29" s="36">
        <v>28</v>
      </c>
    </row>
    <row r="30" spans="1:12" ht="33" customHeight="1">
      <c r="A30" s="14" t="s">
        <v>60</v>
      </c>
      <c r="B30" s="14" t="s">
        <v>39</v>
      </c>
      <c r="C30" s="14">
        <v>15</v>
      </c>
      <c r="D30" s="14">
        <v>60</v>
      </c>
      <c r="E30" s="14" t="s">
        <v>61</v>
      </c>
      <c r="F30" s="18">
        <v>757</v>
      </c>
      <c r="G30" s="18">
        <v>719</v>
      </c>
      <c r="H30" s="18">
        <v>664</v>
      </c>
      <c r="I30" s="18">
        <v>60</v>
      </c>
      <c r="J30" s="20">
        <v>60</v>
      </c>
      <c r="K30" s="35">
        <v>2260</v>
      </c>
      <c r="L30" s="36">
        <v>29</v>
      </c>
    </row>
    <row r="31" spans="1:12" ht="33" customHeight="1">
      <c r="A31" s="14" t="s">
        <v>40</v>
      </c>
      <c r="B31" s="14" t="s">
        <v>22</v>
      </c>
      <c r="C31" s="14">
        <v>10</v>
      </c>
      <c r="D31" s="14">
        <v>40</v>
      </c>
      <c r="E31" s="14" t="s">
        <v>23</v>
      </c>
      <c r="F31" s="18">
        <v>720</v>
      </c>
      <c r="G31" s="18">
        <v>650</v>
      </c>
      <c r="H31" s="18">
        <v>785</v>
      </c>
      <c r="I31" s="18">
        <v>40</v>
      </c>
      <c r="J31" s="20">
        <v>40</v>
      </c>
      <c r="K31" s="35">
        <v>2235</v>
      </c>
      <c r="L31" s="36">
        <v>30</v>
      </c>
    </row>
    <row r="32" spans="1:12" ht="33" customHeight="1">
      <c r="A32" s="14" t="s">
        <v>46</v>
      </c>
      <c r="B32" s="14" t="s">
        <v>22</v>
      </c>
      <c r="C32" s="14">
        <v>10</v>
      </c>
      <c r="D32" s="14">
        <v>40</v>
      </c>
      <c r="E32" s="14" t="s">
        <v>17</v>
      </c>
      <c r="F32" s="18">
        <v>638</v>
      </c>
      <c r="G32" s="18">
        <v>713</v>
      </c>
      <c r="H32" s="18">
        <v>679</v>
      </c>
      <c r="I32" s="18">
        <v>40</v>
      </c>
      <c r="J32" s="20">
        <v>40</v>
      </c>
      <c r="K32" s="35">
        <v>2110</v>
      </c>
      <c r="L32" s="36">
        <v>31</v>
      </c>
    </row>
    <row r="33" spans="1:12" ht="33" customHeight="1">
      <c r="A33" s="14" t="s">
        <v>38</v>
      </c>
      <c r="B33" s="14" t="s">
        <v>39</v>
      </c>
      <c r="C33" s="14">
        <v>15</v>
      </c>
      <c r="D33" s="14">
        <v>60</v>
      </c>
      <c r="E33" s="14" t="s">
        <v>35</v>
      </c>
      <c r="F33" s="18">
        <v>638</v>
      </c>
      <c r="G33" s="18">
        <v>646</v>
      </c>
      <c r="H33" s="18">
        <v>612</v>
      </c>
      <c r="I33" s="18">
        <v>60</v>
      </c>
      <c r="J33" s="20">
        <v>60</v>
      </c>
      <c r="K33" s="35">
        <v>2016</v>
      </c>
      <c r="L33" s="36">
        <v>32</v>
      </c>
    </row>
    <row r="34" spans="1:12" ht="33" customHeight="1">
      <c r="A34" s="14" t="s">
        <v>56</v>
      </c>
      <c r="B34" s="14" t="s">
        <v>28</v>
      </c>
      <c r="C34" s="14">
        <v>20</v>
      </c>
      <c r="D34" s="14">
        <v>80</v>
      </c>
      <c r="E34" s="14" t="s">
        <v>17</v>
      </c>
      <c r="F34" s="18">
        <v>730</v>
      </c>
      <c r="G34" s="18">
        <v>762</v>
      </c>
      <c r="H34" s="18">
        <v>693</v>
      </c>
      <c r="I34" s="18">
        <v>80</v>
      </c>
      <c r="J34" s="20">
        <v>80</v>
      </c>
      <c r="K34" s="35">
        <v>1945</v>
      </c>
      <c r="L34" s="36">
        <v>33</v>
      </c>
    </row>
    <row r="35" spans="1:12" ht="33" customHeight="1">
      <c r="A35" s="14" t="s">
        <v>64</v>
      </c>
      <c r="B35" s="14" t="s">
        <v>16</v>
      </c>
      <c r="C35" s="14">
        <v>0</v>
      </c>
      <c r="D35" s="14">
        <v>0</v>
      </c>
      <c r="E35" s="14" t="s">
        <v>17</v>
      </c>
      <c r="F35" s="18">
        <v>903</v>
      </c>
      <c r="G35" s="18">
        <v>976</v>
      </c>
      <c r="H35" s="18">
        <v>0</v>
      </c>
      <c r="I35" s="18">
        <v>0</v>
      </c>
      <c r="J35" s="20">
        <v>0</v>
      </c>
      <c r="K35" s="35">
        <v>1879</v>
      </c>
      <c r="L35" s="36">
        <v>34</v>
      </c>
    </row>
    <row r="36" spans="1:12" ht="33" customHeight="1">
      <c r="A36" s="14" t="s">
        <v>51</v>
      </c>
      <c r="B36" s="14" t="s">
        <v>16</v>
      </c>
      <c r="C36" s="14">
        <v>0</v>
      </c>
      <c r="D36" s="14">
        <v>0</v>
      </c>
      <c r="E36" s="14" t="s">
        <v>17</v>
      </c>
      <c r="F36" s="18">
        <v>924</v>
      </c>
      <c r="G36" s="18">
        <v>815</v>
      </c>
      <c r="H36" s="18">
        <v>0</v>
      </c>
      <c r="I36" s="18">
        <v>0</v>
      </c>
      <c r="J36" s="20">
        <v>0</v>
      </c>
      <c r="K36" s="35">
        <v>1739</v>
      </c>
      <c r="L36" s="36">
        <v>35</v>
      </c>
    </row>
    <row r="37" spans="1:12" ht="33" customHeight="1">
      <c r="A37" s="23" t="s">
        <v>63</v>
      </c>
      <c r="B37" s="23" t="s">
        <v>22</v>
      </c>
      <c r="C37" s="23">
        <v>10</v>
      </c>
      <c r="D37" s="23">
        <v>40</v>
      </c>
      <c r="E37" s="23" t="s">
        <v>17</v>
      </c>
      <c r="F37" s="18">
        <v>707</v>
      </c>
      <c r="G37" s="18">
        <v>709</v>
      </c>
      <c r="H37" s="18">
        <v>40</v>
      </c>
      <c r="I37" s="18">
        <v>40</v>
      </c>
      <c r="J37" s="20">
        <v>40</v>
      </c>
      <c r="K37" s="35">
        <v>1536</v>
      </c>
      <c r="L37" s="36">
        <v>36</v>
      </c>
    </row>
    <row r="38" spans="1:12" ht="33" customHeight="1">
      <c r="A38" s="25"/>
      <c r="B38" s="25"/>
      <c r="C38" s="25"/>
      <c r="D38" s="25"/>
      <c r="E38" s="25"/>
      <c r="J38" s="37"/>
      <c r="K38" s="38"/>
      <c r="L38" s="39"/>
    </row>
    <row r="39" spans="1:12" ht="33" customHeight="1">
      <c r="A39" s="25"/>
      <c r="B39" s="25"/>
      <c r="C39" s="25"/>
      <c r="D39" s="25"/>
      <c r="E39" s="25"/>
      <c r="J39" s="37"/>
      <c r="K39" s="38"/>
      <c r="L39" s="39"/>
    </row>
    <row r="40" spans="1:12" ht="33" customHeight="1">
      <c r="A40" s="25"/>
      <c r="B40" s="25"/>
      <c r="C40" s="25"/>
      <c r="D40" s="25"/>
      <c r="E40" s="25"/>
      <c r="J40" s="37"/>
      <c r="K40" s="38"/>
      <c r="L40" s="39"/>
    </row>
    <row r="41" spans="1:12" ht="33" customHeight="1">
      <c r="A41" s="25"/>
      <c r="B41" s="25"/>
      <c r="C41" s="25"/>
      <c r="D41" s="25"/>
      <c r="E41" s="25"/>
      <c r="J41" s="37"/>
      <c r="K41" s="38"/>
      <c r="L41" s="39"/>
    </row>
    <row r="42" spans="1:12" ht="33" customHeight="1">
      <c r="A42" s="25"/>
      <c r="B42" s="25"/>
      <c r="C42" s="25"/>
      <c r="D42" s="25"/>
      <c r="E42" s="25"/>
      <c r="J42" s="37"/>
      <c r="K42" s="38"/>
      <c r="L42" s="39"/>
    </row>
    <row r="43" spans="1:12" ht="33" customHeight="1">
      <c r="A43" s="25"/>
      <c r="B43" s="25"/>
      <c r="C43" s="25"/>
      <c r="D43" s="25"/>
      <c r="E43" s="25"/>
      <c r="J43" s="37"/>
      <c r="K43" s="38"/>
      <c r="L43" s="39"/>
    </row>
    <row r="44" spans="1:12" ht="33" customHeight="1">
      <c r="A44" s="25"/>
      <c r="B44" s="25"/>
      <c r="C44" s="25"/>
      <c r="D44" s="25"/>
      <c r="E44" s="25"/>
      <c r="J44" s="37"/>
      <c r="K44" s="38"/>
      <c r="L44" s="39"/>
    </row>
    <row r="45" spans="1:12" ht="33" customHeight="1">
      <c r="A45" s="25"/>
      <c r="B45" s="25"/>
      <c r="C45" s="25"/>
      <c r="D45" s="25"/>
      <c r="E45" s="25"/>
      <c r="J45" s="37"/>
      <c r="K45" s="38"/>
      <c r="L45" s="39"/>
    </row>
    <row r="46" spans="1:12" ht="33" customHeight="1">
      <c r="A46" s="25"/>
      <c r="B46" s="25"/>
      <c r="C46" s="25"/>
      <c r="D46" s="25"/>
      <c r="E46" s="25"/>
      <c r="J46" s="37"/>
      <c r="K46" s="38"/>
      <c r="L46" s="39"/>
    </row>
    <row r="47" spans="1:12" ht="33" customHeight="1">
      <c r="A47" s="25"/>
      <c r="B47" s="25"/>
      <c r="C47" s="25"/>
      <c r="D47" s="25"/>
      <c r="E47" s="25"/>
      <c r="J47" s="37"/>
      <c r="K47" s="38"/>
      <c r="L47" s="39"/>
    </row>
    <row r="48" spans="1:12" ht="33" customHeight="1">
      <c r="A48" s="25"/>
      <c r="B48" s="25"/>
      <c r="C48" s="25"/>
      <c r="D48" s="25"/>
      <c r="E48" s="25"/>
      <c r="J48" s="37"/>
      <c r="K48" s="38"/>
      <c r="L48" s="39"/>
    </row>
    <row r="49" spans="1:12" ht="33" customHeight="1">
      <c r="A49" s="25"/>
      <c r="B49" s="25"/>
      <c r="C49" s="25"/>
      <c r="D49" s="25"/>
      <c r="E49" s="25"/>
      <c r="J49" s="37"/>
      <c r="K49" s="38"/>
      <c r="L49" s="39"/>
    </row>
    <row r="50" spans="1:12" ht="33" customHeight="1">
      <c r="A50" s="25"/>
      <c r="B50" s="25"/>
      <c r="C50" s="25"/>
      <c r="D50" s="25"/>
      <c r="E50" s="25"/>
      <c r="J50" s="37"/>
      <c r="K50" s="38"/>
      <c r="L50" s="39"/>
    </row>
    <row r="51" spans="1:12" ht="33" customHeight="1">
      <c r="A51" s="25"/>
      <c r="B51" s="25"/>
      <c r="C51" s="25"/>
      <c r="D51" s="25"/>
      <c r="E51" s="25"/>
      <c r="J51" s="37"/>
      <c r="K51" s="38"/>
      <c r="L51" s="39"/>
    </row>
    <row r="52" spans="1:12" ht="33" customHeight="1">
      <c r="A52" s="25"/>
      <c r="B52" s="25"/>
      <c r="C52" s="25"/>
      <c r="D52" s="25"/>
      <c r="E52" s="25"/>
      <c r="J52" s="37"/>
      <c r="K52" s="38"/>
      <c r="L52" s="39"/>
    </row>
    <row r="53" spans="1:12" ht="33" customHeight="1">
      <c r="A53" s="25"/>
      <c r="B53" s="25"/>
      <c r="C53" s="25"/>
      <c r="D53" s="25"/>
      <c r="E53" s="25"/>
      <c r="J53" s="37"/>
      <c r="K53" s="38"/>
      <c r="L53" s="39"/>
    </row>
    <row r="54" spans="1:12" ht="33" customHeight="1">
      <c r="A54" s="25"/>
      <c r="B54" s="25"/>
      <c r="C54" s="25"/>
      <c r="D54" s="25"/>
      <c r="E54" s="25"/>
      <c r="J54" s="37"/>
      <c r="K54" s="38"/>
      <c r="L54" s="39"/>
    </row>
    <row r="55" spans="1:12" ht="33" customHeight="1">
      <c r="A55" s="25"/>
      <c r="B55" s="25"/>
      <c r="C55" s="25"/>
      <c r="D55" s="25"/>
      <c r="E55" s="25"/>
      <c r="J55" s="37"/>
      <c r="K55" s="38"/>
      <c r="L55" s="39"/>
    </row>
    <row r="56" spans="1:12" ht="33" customHeight="1">
      <c r="A56" s="25"/>
      <c r="B56" s="25"/>
      <c r="C56" s="25"/>
      <c r="D56" s="25"/>
      <c r="E56" s="25"/>
      <c r="J56" s="37"/>
      <c r="K56" s="38"/>
      <c r="L56" s="39"/>
    </row>
    <row r="57" spans="1:12" ht="33" customHeight="1">
      <c r="A57" s="25"/>
      <c r="B57" s="25"/>
      <c r="C57" s="25"/>
      <c r="D57" s="25"/>
      <c r="E57" s="25"/>
      <c r="J57" s="37"/>
      <c r="K57" s="38"/>
      <c r="L57" s="39"/>
    </row>
    <row r="58" spans="1:12" ht="33" customHeight="1">
      <c r="A58" s="25"/>
      <c r="B58" s="25"/>
      <c r="C58" s="25"/>
      <c r="D58" s="25"/>
      <c r="E58" s="25"/>
      <c r="J58" s="37"/>
      <c r="K58" s="38"/>
      <c r="L58" s="39"/>
    </row>
    <row r="59" spans="1:12" ht="33" customHeight="1">
      <c r="A59" s="25"/>
      <c r="B59" s="25"/>
      <c r="C59" s="25"/>
      <c r="D59" s="25"/>
      <c r="E59" s="25"/>
      <c r="J59" s="37"/>
      <c r="K59" s="38"/>
      <c r="L59" s="39"/>
    </row>
    <row r="60" spans="1:12" ht="33" customHeight="1">
      <c r="A60" s="25"/>
      <c r="B60" s="25"/>
      <c r="C60" s="25"/>
      <c r="D60" s="25"/>
      <c r="E60" s="25"/>
      <c r="J60" s="37"/>
      <c r="K60" s="38"/>
      <c r="L60" s="39"/>
    </row>
    <row r="61" spans="1:12" ht="33" customHeight="1">
      <c r="A61" s="25"/>
      <c r="B61" s="25"/>
      <c r="C61" s="25"/>
      <c r="D61" s="25"/>
      <c r="E61" s="25"/>
      <c r="J61" s="37"/>
      <c r="K61" s="38"/>
      <c r="L61" s="39"/>
    </row>
    <row r="62" spans="1:12" ht="33" customHeight="1">
      <c r="A62" s="25"/>
      <c r="B62" s="25"/>
      <c r="C62" s="25"/>
      <c r="D62" s="25"/>
      <c r="E62" s="25"/>
      <c r="J62" s="37"/>
      <c r="K62" s="38"/>
      <c r="L62" s="39"/>
    </row>
    <row r="63" spans="1:12" ht="33" customHeight="1">
      <c r="A63" s="25"/>
      <c r="B63" s="25"/>
      <c r="C63" s="25"/>
      <c r="D63" s="25"/>
      <c r="E63" s="25"/>
      <c r="J63" s="37"/>
      <c r="K63" s="38"/>
      <c r="L63" s="39"/>
    </row>
    <row r="64" spans="1:12" ht="33" customHeight="1">
      <c r="A64" s="25"/>
      <c r="B64" s="25"/>
      <c r="C64" s="25"/>
      <c r="D64" s="25"/>
      <c r="E64" s="25"/>
      <c r="J64" s="37"/>
      <c r="K64" s="38"/>
      <c r="L64" s="39"/>
    </row>
    <row r="65" spans="1:12" ht="33" customHeight="1">
      <c r="A65" s="25"/>
      <c r="B65" s="25"/>
      <c r="C65" s="25"/>
      <c r="D65" s="25"/>
      <c r="E65" s="25"/>
      <c r="J65" s="37"/>
      <c r="K65" s="38"/>
      <c r="L65" s="39"/>
    </row>
    <row r="66" spans="1:12" ht="33" customHeight="1">
      <c r="A66" s="25"/>
      <c r="B66" s="25"/>
      <c r="C66" s="25"/>
      <c r="D66" s="25"/>
      <c r="E66" s="25"/>
      <c r="J66" s="37"/>
      <c r="K66" s="38"/>
      <c r="L66" s="39"/>
    </row>
    <row r="67" spans="1:12" ht="33" customHeight="1">
      <c r="A67" s="25"/>
      <c r="B67" s="25"/>
      <c r="C67" s="25"/>
      <c r="D67" s="25"/>
      <c r="E67" s="25"/>
      <c r="J67" s="37"/>
      <c r="K67" s="38"/>
      <c r="L67" s="39"/>
    </row>
    <row r="68" spans="1:12" ht="33" customHeight="1">
      <c r="A68" s="25"/>
      <c r="B68" s="25"/>
      <c r="C68" s="25"/>
      <c r="D68" s="25"/>
      <c r="E68" s="25"/>
      <c r="J68" s="37"/>
      <c r="K68" s="38"/>
      <c r="L68" s="39"/>
    </row>
    <row r="69" spans="1:12" ht="33" customHeight="1">
      <c r="A69" s="25"/>
      <c r="B69" s="25"/>
      <c r="C69" s="25"/>
      <c r="D69" s="25"/>
      <c r="E69" s="25"/>
      <c r="J69" s="37"/>
      <c r="K69" s="38"/>
      <c r="L69" s="39"/>
    </row>
    <row r="70" spans="1:12" ht="33" customHeight="1">
      <c r="A70" s="25"/>
      <c r="B70" s="25"/>
      <c r="C70" s="25"/>
      <c r="D70" s="25"/>
      <c r="E70" s="25"/>
      <c r="J70" s="37"/>
      <c r="K70" s="38"/>
      <c r="L70" s="39"/>
    </row>
    <row r="71" spans="1:12" ht="33" customHeight="1">
      <c r="A71" s="25"/>
      <c r="B71" s="25"/>
      <c r="C71" s="25"/>
      <c r="D71" s="25"/>
      <c r="E71" s="25"/>
      <c r="J71" s="37"/>
      <c r="K71" s="38"/>
      <c r="L71" s="39"/>
    </row>
    <row r="72" spans="1:12" ht="33" customHeight="1">
      <c r="A72" s="25"/>
      <c r="B72" s="25"/>
      <c r="C72" s="25"/>
      <c r="D72" s="25"/>
      <c r="E72" s="25"/>
      <c r="J72" s="37"/>
      <c r="K72" s="38"/>
      <c r="L72" s="39"/>
    </row>
    <row r="73" spans="1:12" ht="33" customHeight="1">
      <c r="A73" s="25"/>
      <c r="B73" s="25"/>
      <c r="C73" s="25"/>
      <c r="D73" s="25"/>
      <c r="E73" s="25"/>
      <c r="J73" s="37"/>
      <c r="K73" s="38"/>
      <c r="L73" s="39"/>
    </row>
    <row r="74" spans="1:12" ht="33" customHeight="1">
      <c r="A74" s="25"/>
      <c r="B74" s="25"/>
      <c r="C74" s="25"/>
      <c r="D74" s="25"/>
      <c r="E74" s="25"/>
      <c r="J74" s="37"/>
      <c r="K74" s="38"/>
      <c r="L74" s="39"/>
    </row>
    <row r="75" spans="1:12" ht="33" customHeight="1">
      <c r="A75" s="25"/>
      <c r="B75" s="25"/>
      <c r="C75" s="25"/>
      <c r="D75" s="25"/>
      <c r="E75" s="25"/>
      <c r="J75" s="37"/>
      <c r="K75" s="38"/>
      <c r="L75" s="39"/>
    </row>
    <row r="76" spans="1:12" ht="33" customHeight="1">
      <c r="A76" s="25"/>
      <c r="B76" s="25"/>
      <c r="C76" s="25"/>
      <c r="D76" s="25"/>
      <c r="E76" s="25"/>
      <c r="J76" s="37"/>
      <c r="K76" s="38"/>
      <c r="L76" s="39"/>
    </row>
    <row r="77" spans="1:12" ht="33" customHeight="1">
      <c r="A77" s="25"/>
      <c r="B77" s="25"/>
      <c r="C77" s="25"/>
      <c r="D77" s="25"/>
      <c r="E77" s="25"/>
      <c r="J77" s="37"/>
      <c r="K77" s="38"/>
      <c r="L77" s="39"/>
    </row>
    <row r="78" spans="1:12" ht="33" customHeight="1">
      <c r="A78" s="25"/>
      <c r="B78" s="25"/>
      <c r="C78" s="25"/>
      <c r="D78" s="25"/>
      <c r="E78" s="25"/>
      <c r="J78" s="37"/>
      <c r="K78" s="38"/>
      <c r="L78" s="39"/>
    </row>
    <row r="79" spans="1:12" ht="33" customHeight="1">
      <c r="A79" s="25"/>
      <c r="B79" s="25"/>
      <c r="C79" s="25"/>
      <c r="D79" s="25"/>
      <c r="E79" s="25"/>
      <c r="J79" s="37"/>
      <c r="K79" s="38"/>
      <c r="L79" s="39"/>
    </row>
    <row r="80" spans="1:12" ht="33" customHeight="1">
      <c r="A80" s="25"/>
      <c r="B80" s="25"/>
      <c r="C80" s="25"/>
      <c r="D80" s="25"/>
      <c r="E80" s="25"/>
      <c r="J80" s="37"/>
      <c r="K80" s="38"/>
      <c r="L80" s="39"/>
    </row>
    <row r="81" spans="1:12" ht="33" customHeight="1">
      <c r="A81" s="25"/>
      <c r="B81" s="25"/>
      <c r="C81" s="25"/>
      <c r="D81" s="25"/>
      <c r="E81" s="25"/>
      <c r="J81" s="37"/>
      <c r="K81" s="38"/>
      <c r="L81" s="39"/>
    </row>
    <row r="82" spans="1:12" ht="33" customHeight="1">
      <c r="A82" s="25"/>
      <c r="B82" s="25"/>
      <c r="C82" s="25"/>
      <c r="D82" s="25"/>
      <c r="E82" s="25"/>
      <c r="J82" s="37"/>
      <c r="K82" s="38"/>
      <c r="L82" s="39"/>
    </row>
    <row r="83" spans="1:12" ht="33" customHeight="1">
      <c r="A83" s="25"/>
      <c r="B83" s="25"/>
      <c r="C83" s="25"/>
      <c r="D83" s="25"/>
      <c r="E83" s="25"/>
      <c r="J83" s="37"/>
      <c r="K83" s="38"/>
      <c r="L83" s="39"/>
    </row>
    <row r="84" spans="1:12" ht="33" customHeight="1">
      <c r="A84" s="25"/>
      <c r="B84" s="25"/>
      <c r="C84" s="25"/>
      <c r="D84" s="25"/>
      <c r="E84" s="25"/>
      <c r="J84" s="37"/>
      <c r="K84" s="38"/>
      <c r="L84" s="39"/>
    </row>
    <row r="85" spans="1:12" ht="33" customHeight="1">
      <c r="A85" s="25"/>
      <c r="B85" s="25"/>
      <c r="C85" s="25"/>
      <c r="D85" s="25"/>
      <c r="E85" s="25"/>
      <c r="J85" s="37"/>
      <c r="K85" s="38"/>
      <c r="L85" s="39"/>
    </row>
    <row r="86" spans="1:12" ht="33" customHeight="1">
      <c r="A86" s="25"/>
      <c r="B86" s="25"/>
      <c r="C86" s="25"/>
      <c r="D86" s="25"/>
      <c r="E86" s="25"/>
      <c r="J86" s="37"/>
      <c r="K86" s="38"/>
      <c r="L86" s="39"/>
    </row>
    <row r="87" spans="1:12" ht="33" customHeight="1">
      <c r="A87" s="25"/>
      <c r="B87" s="25"/>
      <c r="C87" s="25"/>
      <c r="D87" s="25"/>
      <c r="E87" s="25"/>
      <c r="J87" s="37"/>
      <c r="K87" s="38"/>
      <c r="L87" s="39"/>
    </row>
    <row r="88" spans="1:12" ht="33" customHeight="1">
      <c r="A88" s="25"/>
      <c r="B88" s="25"/>
      <c r="C88" s="25"/>
      <c r="D88" s="25"/>
      <c r="E88" s="25"/>
      <c r="J88" s="37"/>
      <c r="K88" s="38"/>
      <c r="L88" s="39"/>
    </row>
    <row r="89" spans="1:12" ht="33" customHeight="1">
      <c r="A89" s="25"/>
      <c r="B89" s="25"/>
      <c r="C89" s="25"/>
      <c r="D89" s="25"/>
      <c r="E89" s="25"/>
      <c r="J89" s="37"/>
      <c r="K89" s="38"/>
      <c r="L89" s="39"/>
    </row>
    <row r="90" spans="1:12" ht="33" customHeight="1">
      <c r="A90" s="25"/>
      <c r="B90" s="25"/>
      <c r="C90" s="25"/>
      <c r="D90" s="25"/>
      <c r="E90" s="25"/>
      <c r="J90" s="37"/>
      <c r="K90" s="38"/>
      <c r="L90" s="39"/>
    </row>
    <row r="91" spans="1:12" ht="33" customHeight="1">
      <c r="A91" s="25"/>
      <c r="B91" s="25"/>
      <c r="C91" s="25"/>
      <c r="D91" s="25"/>
      <c r="E91" s="25"/>
      <c r="J91" s="37"/>
      <c r="K91" s="38"/>
      <c r="L91" s="39"/>
    </row>
    <row r="92" spans="1:12" ht="33" customHeight="1">
      <c r="A92" s="25"/>
      <c r="B92" s="25"/>
      <c r="C92" s="25"/>
      <c r="D92" s="25"/>
      <c r="E92" s="25"/>
      <c r="J92" s="37"/>
      <c r="K92" s="38"/>
      <c r="L92" s="39"/>
    </row>
    <row r="93" spans="1:12" ht="33" customHeight="1">
      <c r="A93" s="25"/>
      <c r="B93" s="25"/>
      <c r="C93" s="25"/>
      <c r="D93" s="25"/>
      <c r="E93" s="25"/>
      <c r="J93" s="37"/>
      <c r="K93" s="38"/>
      <c r="L93" s="39"/>
    </row>
    <row r="94" spans="1:12" ht="33" customHeight="1">
      <c r="A94" s="25"/>
      <c r="B94" s="25"/>
      <c r="C94" s="25"/>
      <c r="D94" s="25"/>
      <c r="E94" s="25"/>
      <c r="J94" s="37"/>
      <c r="K94" s="38"/>
      <c r="L94" s="39"/>
    </row>
    <row r="95" spans="1:12" ht="33" customHeight="1">
      <c r="A95" s="25"/>
      <c r="B95" s="25"/>
      <c r="C95" s="25"/>
      <c r="D95" s="25"/>
      <c r="E95" s="25"/>
      <c r="J95" s="37"/>
      <c r="K95" s="38"/>
      <c r="L95" s="39"/>
    </row>
    <row r="96" spans="1:12" ht="33" customHeight="1">
      <c r="A96" s="25"/>
      <c r="B96" s="25"/>
      <c r="C96" s="25"/>
      <c r="D96" s="25"/>
      <c r="E96" s="25"/>
      <c r="J96" s="37"/>
      <c r="K96" s="38"/>
      <c r="L96" s="39"/>
    </row>
    <row r="97" spans="1:12" ht="33" customHeight="1">
      <c r="A97" s="25"/>
      <c r="B97" s="25"/>
      <c r="C97" s="25"/>
      <c r="D97" s="25"/>
      <c r="E97" s="25"/>
      <c r="J97" s="37"/>
      <c r="K97" s="38"/>
      <c r="L97" s="39"/>
    </row>
    <row r="98" spans="1:12" ht="33" customHeight="1">
      <c r="A98" s="25"/>
      <c r="B98" s="25"/>
      <c r="C98" s="25"/>
      <c r="D98" s="25"/>
      <c r="E98" s="25"/>
      <c r="J98" s="37"/>
      <c r="K98" s="38"/>
      <c r="L98" s="39"/>
    </row>
    <row r="99" spans="1:12" ht="33" customHeight="1">
      <c r="A99" s="25"/>
      <c r="B99" s="25"/>
      <c r="C99" s="25"/>
      <c r="D99" s="25"/>
      <c r="E99" s="25"/>
      <c r="J99" s="37"/>
      <c r="K99" s="38"/>
      <c r="L99" s="39"/>
    </row>
    <row r="100" spans="1:12" ht="33" customHeight="1">
      <c r="A100" s="25"/>
      <c r="B100" s="25"/>
      <c r="C100" s="25"/>
      <c r="D100" s="25"/>
      <c r="E100" s="25"/>
      <c r="J100" s="37"/>
      <c r="K100" s="38"/>
      <c r="L100" s="39"/>
    </row>
    <row r="101" spans="1:12" ht="33" customHeight="1">
      <c r="A101" s="25"/>
      <c r="B101" s="25"/>
      <c r="C101" s="25"/>
      <c r="D101" s="25"/>
      <c r="E101" s="25"/>
      <c r="J101" s="37"/>
      <c r="K101" s="38"/>
      <c r="L101" s="39"/>
    </row>
    <row r="102" spans="1:12" ht="33" customHeight="1">
      <c r="A102" s="25"/>
      <c r="B102" s="25"/>
      <c r="C102" s="25"/>
      <c r="D102" s="25"/>
      <c r="E102" s="25"/>
      <c r="J102" s="37"/>
      <c r="K102" s="38"/>
      <c r="L102" s="39"/>
    </row>
    <row r="103" spans="1:12" ht="33" customHeight="1">
      <c r="A103" s="25"/>
      <c r="B103" s="25"/>
      <c r="C103" s="25"/>
      <c r="D103" s="25"/>
      <c r="E103" s="25"/>
      <c r="J103" s="37"/>
      <c r="K103" s="38"/>
      <c r="L103" s="39"/>
    </row>
    <row r="104" spans="1:12" ht="33" customHeight="1">
      <c r="A104" s="25"/>
      <c r="B104" s="25"/>
      <c r="C104" s="25"/>
      <c r="D104" s="25"/>
      <c r="E104" s="25"/>
      <c r="J104" s="37"/>
      <c r="K104" s="38"/>
      <c r="L104" s="39"/>
    </row>
    <row r="105" spans="1:12" ht="33" customHeight="1">
      <c r="A105" s="25"/>
      <c r="B105" s="25"/>
      <c r="C105" s="25"/>
      <c r="D105" s="25"/>
      <c r="E105" s="25"/>
      <c r="J105" s="37"/>
      <c r="K105" s="38"/>
      <c r="L105" s="39"/>
    </row>
    <row r="106" spans="1:12" ht="33" customHeight="1">
      <c r="A106" s="25"/>
      <c r="B106" s="25"/>
      <c r="C106" s="25"/>
      <c r="D106" s="25"/>
      <c r="E106" s="25"/>
      <c r="J106" s="37"/>
      <c r="K106" s="38"/>
      <c r="L106" s="39"/>
    </row>
    <row r="107" spans="1:12" ht="33" customHeight="1">
      <c r="A107" s="25"/>
      <c r="B107" s="25"/>
      <c r="C107" s="25"/>
      <c r="D107" s="25"/>
      <c r="E107" s="25"/>
      <c r="J107" s="37"/>
      <c r="K107" s="38"/>
      <c r="L107" s="39"/>
    </row>
    <row r="108" spans="1:12" ht="33" customHeight="1">
      <c r="A108" s="25"/>
      <c r="B108" s="25"/>
      <c r="C108" s="25"/>
      <c r="D108" s="25"/>
      <c r="E108" s="25"/>
      <c r="J108" s="37"/>
      <c r="K108" s="38"/>
      <c r="L108" s="39"/>
    </row>
    <row r="109" spans="1:12" ht="33" customHeight="1">
      <c r="A109" s="25"/>
      <c r="B109" s="25"/>
      <c r="C109" s="25"/>
      <c r="D109" s="25"/>
      <c r="E109" s="25"/>
      <c r="J109" s="37"/>
      <c r="K109" s="38"/>
      <c r="L109" s="39"/>
    </row>
    <row r="110" spans="1:12" ht="33" customHeight="1">
      <c r="A110" s="25"/>
      <c r="B110" s="25"/>
      <c r="C110" s="25"/>
      <c r="D110" s="25"/>
      <c r="E110" s="25"/>
      <c r="J110" s="37"/>
      <c r="K110" s="38"/>
      <c r="L110" s="39"/>
    </row>
    <row r="111" spans="1:12" ht="33" customHeight="1">
      <c r="A111" s="25"/>
      <c r="B111" s="25"/>
      <c r="C111" s="25"/>
      <c r="D111" s="25"/>
      <c r="E111" s="25"/>
      <c r="J111" s="37"/>
      <c r="K111" s="38"/>
      <c r="L111" s="39"/>
    </row>
    <row r="112" spans="1:12" ht="33" customHeight="1">
      <c r="A112" s="25"/>
      <c r="B112" s="25"/>
      <c r="C112" s="25"/>
      <c r="D112" s="25"/>
      <c r="E112" s="25"/>
      <c r="J112" s="37"/>
      <c r="K112" s="38"/>
      <c r="L112" s="39"/>
    </row>
    <row r="113" spans="1:12" ht="33" customHeight="1">
      <c r="A113" s="25"/>
      <c r="B113" s="25"/>
      <c r="C113" s="25"/>
      <c r="D113" s="25"/>
      <c r="E113" s="25"/>
      <c r="J113" s="37"/>
      <c r="K113" s="38"/>
      <c r="L113" s="39"/>
    </row>
    <row r="114" spans="1:12" ht="33" customHeight="1">
      <c r="A114" s="25"/>
      <c r="B114" s="25"/>
      <c r="C114" s="25"/>
      <c r="D114" s="25"/>
      <c r="E114" s="25"/>
      <c r="J114" s="37"/>
      <c r="K114" s="38"/>
      <c r="L114" s="39"/>
    </row>
    <row r="115" spans="1:12" ht="33" customHeight="1">
      <c r="A115" s="25"/>
      <c r="B115" s="25"/>
      <c r="C115" s="25"/>
      <c r="D115" s="25"/>
      <c r="E115" s="25"/>
      <c r="J115" s="37"/>
      <c r="K115" s="38"/>
      <c r="L115" s="39"/>
    </row>
    <row r="116" spans="1:12" ht="33" customHeight="1">
      <c r="A116" s="25"/>
      <c r="B116" s="25"/>
      <c r="C116" s="25"/>
      <c r="D116" s="25"/>
      <c r="E116" s="25"/>
      <c r="J116" s="37"/>
      <c r="K116" s="38"/>
      <c r="L116" s="39"/>
    </row>
    <row r="117" spans="1:12" ht="33" customHeight="1">
      <c r="A117" s="25"/>
      <c r="B117" s="25"/>
      <c r="C117" s="25"/>
      <c r="D117" s="25"/>
      <c r="E117" s="25"/>
      <c r="J117" s="37"/>
      <c r="K117" s="38"/>
      <c r="L117" s="39"/>
    </row>
    <row r="118" spans="1:12" ht="33" customHeight="1">
      <c r="A118" s="25"/>
      <c r="B118" s="25"/>
      <c r="C118" s="25"/>
      <c r="D118" s="25"/>
      <c r="E118" s="25"/>
      <c r="J118" s="37"/>
      <c r="K118" s="38"/>
      <c r="L118" s="39"/>
    </row>
    <row r="119" spans="1:12" ht="33" customHeight="1">
      <c r="A119" s="25"/>
      <c r="B119" s="25"/>
      <c r="C119" s="25"/>
      <c r="D119" s="25"/>
      <c r="E119" s="25"/>
      <c r="J119" s="37"/>
      <c r="K119" s="38"/>
      <c r="L119" s="39"/>
    </row>
    <row r="120" spans="1:12" ht="33" customHeight="1">
      <c r="A120" s="25"/>
      <c r="B120" s="25"/>
      <c r="C120" s="25"/>
      <c r="D120" s="25"/>
      <c r="E120" s="25"/>
      <c r="J120" s="37"/>
      <c r="K120" s="38"/>
      <c r="L120" s="39"/>
    </row>
    <row r="121" spans="1:12" ht="33" customHeight="1">
      <c r="A121" s="25"/>
      <c r="B121" s="25"/>
      <c r="C121" s="25"/>
      <c r="D121" s="25"/>
      <c r="E121" s="25"/>
      <c r="J121" s="37"/>
      <c r="K121" s="38"/>
      <c r="L121" s="39"/>
    </row>
    <row r="122" spans="1:12" ht="33" customHeight="1">
      <c r="A122" s="25"/>
      <c r="B122" s="25"/>
      <c r="C122" s="25"/>
      <c r="D122" s="25"/>
      <c r="E122" s="25"/>
      <c r="J122" s="37"/>
      <c r="K122" s="38"/>
      <c r="L122" s="39"/>
    </row>
    <row r="123" spans="1:12" ht="33" customHeight="1">
      <c r="A123" s="25"/>
      <c r="B123" s="25"/>
      <c r="C123" s="25"/>
      <c r="D123" s="25"/>
      <c r="E123" s="25"/>
      <c r="J123" s="37"/>
      <c r="K123" s="38"/>
      <c r="L123" s="39"/>
    </row>
    <row r="124" spans="1:12" ht="33" customHeight="1">
      <c r="A124" s="25"/>
      <c r="B124" s="25"/>
      <c r="C124" s="25"/>
      <c r="D124" s="25"/>
      <c r="E124" s="25"/>
      <c r="J124" s="37"/>
      <c r="K124" s="38"/>
      <c r="L124" s="39"/>
    </row>
    <row r="125" spans="1:12" ht="33" customHeight="1">
      <c r="A125" s="25"/>
      <c r="B125" s="25"/>
      <c r="C125" s="25"/>
      <c r="D125" s="25"/>
      <c r="E125" s="25"/>
      <c r="J125" s="37"/>
      <c r="K125" s="38"/>
      <c r="L125" s="39"/>
    </row>
    <row r="126" spans="1:12" ht="33" customHeight="1">
      <c r="A126" s="25"/>
      <c r="B126" s="25"/>
      <c r="C126" s="25"/>
      <c r="D126" s="25"/>
      <c r="E126" s="25"/>
      <c r="J126" s="37"/>
      <c r="K126" s="38"/>
      <c r="L126" s="39"/>
    </row>
    <row r="127" spans="1:12" ht="33" customHeight="1">
      <c r="A127" s="25"/>
      <c r="B127" s="25"/>
      <c r="C127" s="25"/>
      <c r="D127" s="25"/>
      <c r="E127" s="25"/>
      <c r="J127" s="37"/>
      <c r="K127" s="38"/>
      <c r="L127" s="39"/>
    </row>
    <row r="128" spans="1:12" ht="33" customHeight="1">
      <c r="A128" s="25"/>
      <c r="B128" s="25"/>
      <c r="C128" s="25"/>
      <c r="D128" s="25"/>
      <c r="E128" s="25"/>
      <c r="J128" s="37"/>
      <c r="K128" s="38"/>
      <c r="L128" s="39"/>
    </row>
    <row r="129" spans="1:12" ht="33" customHeight="1">
      <c r="A129" s="25"/>
      <c r="B129" s="25"/>
      <c r="C129" s="25"/>
      <c r="D129" s="25"/>
      <c r="E129" s="25"/>
      <c r="J129" s="37"/>
      <c r="K129" s="38"/>
      <c r="L129" s="39"/>
    </row>
    <row r="130" spans="1:12" ht="33" customHeight="1">
      <c r="A130" s="25"/>
      <c r="B130" s="25"/>
      <c r="C130" s="25"/>
      <c r="D130" s="25"/>
      <c r="E130" s="25"/>
      <c r="J130" s="37"/>
      <c r="K130" s="38"/>
      <c r="L130" s="39"/>
    </row>
    <row r="131" spans="1:12" ht="33" customHeight="1">
      <c r="A131" s="25"/>
      <c r="B131" s="25"/>
      <c r="C131" s="25"/>
      <c r="D131" s="25"/>
      <c r="E131" s="25"/>
      <c r="J131" s="37"/>
      <c r="K131" s="38"/>
      <c r="L131" s="39"/>
    </row>
    <row r="132" spans="1:12" ht="33" customHeight="1">
      <c r="A132" s="25"/>
      <c r="B132" s="25"/>
      <c r="C132" s="25"/>
      <c r="D132" s="25"/>
      <c r="E132" s="25"/>
      <c r="J132" s="37"/>
      <c r="K132" s="38"/>
      <c r="L132" s="39"/>
    </row>
    <row r="133" spans="1:12" ht="33" customHeight="1">
      <c r="A133" s="25"/>
      <c r="B133" s="25"/>
      <c r="C133" s="25"/>
      <c r="D133" s="25"/>
      <c r="E133" s="25"/>
      <c r="J133" s="37"/>
      <c r="K133" s="38"/>
      <c r="L133" s="39"/>
    </row>
    <row r="134" spans="1:12" ht="33" customHeight="1">
      <c r="A134" s="25"/>
      <c r="B134" s="25"/>
      <c r="C134" s="25"/>
      <c r="D134" s="25"/>
      <c r="E134" s="25"/>
      <c r="J134" s="37"/>
      <c r="K134" s="38"/>
      <c r="L134" s="39"/>
    </row>
    <row r="135" spans="1:12" ht="33" customHeight="1">
      <c r="A135" s="25"/>
      <c r="B135" s="25"/>
      <c r="C135" s="25"/>
      <c r="D135" s="25"/>
      <c r="E135" s="25"/>
      <c r="J135" s="37"/>
      <c r="K135" s="38"/>
      <c r="L135" s="39"/>
    </row>
    <row r="136" spans="1:12" ht="33" customHeight="1">
      <c r="A136" s="25"/>
      <c r="B136" s="25"/>
      <c r="C136" s="25"/>
      <c r="D136" s="25"/>
      <c r="E136" s="25"/>
      <c r="J136" s="37"/>
      <c r="K136" s="38"/>
      <c r="L136" s="39"/>
    </row>
    <row r="137" spans="1:12" ht="33" customHeight="1">
      <c r="A137" s="25"/>
      <c r="B137" s="25"/>
      <c r="C137" s="25"/>
      <c r="D137" s="25"/>
      <c r="E137" s="25"/>
      <c r="J137" s="37"/>
      <c r="K137" s="38"/>
      <c r="L137" s="39"/>
    </row>
    <row r="138" spans="1:12" ht="33" customHeight="1">
      <c r="A138" s="25"/>
      <c r="B138" s="25"/>
      <c r="C138" s="25"/>
      <c r="D138" s="25"/>
      <c r="E138" s="25"/>
      <c r="J138" s="37"/>
      <c r="K138" s="38"/>
      <c r="L138" s="39"/>
    </row>
    <row r="139" spans="1:12" ht="33" customHeight="1">
      <c r="A139" s="25"/>
      <c r="B139" s="25"/>
      <c r="C139" s="25"/>
      <c r="D139" s="25"/>
      <c r="E139" s="25"/>
      <c r="J139" s="37"/>
      <c r="K139" s="38"/>
      <c r="L139" s="39"/>
    </row>
    <row r="140" spans="1:12" ht="33" customHeight="1">
      <c r="A140" s="25"/>
      <c r="B140" s="25"/>
      <c r="C140" s="25"/>
      <c r="D140" s="25"/>
      <c r="E140" s="25"/>
      <c r="J140" s="37"/>
      <c r="K140" s="38"/>
      <c r="L140" s="39"/>
    </row>
    <row r="141" spans="1:12" ht="33" customHeight="1">
      <c r="A141" s="25"/>
      <c r="B141" s="25"/>
      <c r="C141" s="25"/>
      <c r="D141" s="25"/>
      <c r="E141" s="25"/>
      <c r="J141" s="37"/>
      <c r="K141" s="38"/>
      <c r="L141" s="39"/>
    </row>
    <row r="142" spans="1:12" ht="33" customHeight="1">
      <c r="A142" s="25"/>
      <c r="B142" s="25"/>
      <c r="C142" s="25"/>
      <c r="D142" s="25"/>
      <c r="E142" s="25"/>
      <c r="J142" s="37"/>
      <c r="K142" s="38"/>
      <c r="L142" s="39"/>
    </row>
    <row r="143" spans="1:12" ht="33" customHeight="1">
      <c r="A143" s="25"/>
      <c r="B143" s="25"/>
      <c r="C143" s="25"/>
      <c r="D143" s="25"/>
      <c r="E143" s="25"/>
      <c r="J143" s="37"/>
      <c r="K143" s="38"/>
      <c r="L143" s="39"/>
    </row>
    <row r="144" spans="1:12" ht="33" customHeight="1">
      <c r="A144" s="25"/>
      <c r="B144" s="25"/>
      <c r="C144" s="25"/>
      <c r="D144" s="25"/>
      <c r="E144" s="25"/>
      <c r="J144" s="37"/>
      <c r="K144" s="38"/>
      <c r="L144" s="39"/>
    </row>
    <row r="145" spans="1:12" ht="33" customHeight="1">
      <c r="A145" s="25"/>
      <c r="B145" s="25"/>
      <c r="C145" s="25"/>
      <c r="D145" s="25"/>
      <c r="E145" s="25"/>
      <c r="J145" s="37"/>
      <c r="K145" s="38"/>
      <c r="L145" s="39"/>
    </row>
    <row r="146" spans="1:12" ht="33" customHeight="1">
      <c r="A146" s="25"/>
      <c r="B146" s="25"/>
      <c r="C146" s="25"/>
      <c r="D146" s="25"/>
      <c r="E146" s="25"/>
      <c r="J146" s="37"/>
      <c r="K146" s="38"/>
      <c r="L146" s="39"/>
    </row>
    <row r="147" spans="1:12" ht="33" customHeight="1">
      <c r="A147" s="25"/>
      <c r="B147" s="25"/>
      <c r="C147" s="25"/>
      <c r="D147" s="25"/>
      <c r="E147" s="25"/>
      <c r="J147" s="37"/>
      <c r="K147" s="38"/>
      <c r="L147" s="39"/>
    </row>
    <row r="148" spans="1:12" ht="33" customHeight="1">
      <c r="A148" s="25"/>
      <c r="B148" s="25"/>
      <c r="C148" s="25"/>
      <c r="D148" s="25"/>
      <c r="E148" s="25"/>
      <c r="J148" s="37"/>
      <c r="K148" s="38"/>
      <c r="L148" s="39"/>
    </row>
    <row r="149" spans="1:12" ht="33" customHeight="1">
      <c r="A149" s="25"/>
      <c r="B149" s="25"/>
      <c r="C149" s="25"/>
      <c r="D149" s="25"/>
      <c r="E149" s="25"/>
      <c r="J149" s="37"/>
      <c r="K149" s="38"/>
      <c r="L149" s="39"/>
    </row>
    <row r="150" spans="1:12" ht="33" customHeight="1">
      <c r="A150" s="25"/>
      <c r="B150" s="25"/>
      <c r="C150" s="25"/>
      <c r="D150" s="25"/>
      <c r="E150" s="25"/>
      <c r="J150" s="37"/>
      <c r="K150" s="38"/>
      <c r="L150" s="39"/>
    </row>
    <row r="151" spans="1:12" ht="33" customHeight="1">
      <c r="A151" s="25"/>
      <c r="B151" s="25"/>
      <c r="C151" s="25"/>
      <c r="D151" s="25"/>
      <c r="E151" s="25"/>
      <c r="J151" s="37"/>
      <c r="K151" s="38"/>
      <c r="L151" s="39"/>
    </row>
    <row r="152" spans="1:12" ht="33" customHeight="1">
      <c r="A152" s="25"/>
      <c r="B152" s="25"/>
      <c r="C152" s="25"/>
      <c r="D152" s="25"/>
      <c r="E152" s="25"/>
      <c r="J152" s="37"/>
      <c r="K152" s="38"/>
      <c r="L152" s="39"/>
    </row>
    <row r="153" spans="1:12" ht="33" customHeight="1">
      <c r="A153" s="25"/>
      <c r="B153" s="25"/>
      <c r="C153" s="25"/>
      <c r="D153" s="25"/>
      <c r="E153" s="25"/>
      <c r="J153" s="37"/>
      <c r="K153" s="38"/>
      <c r="L153" s="39"/>
    </row>
    <row r="154" spans="1:12" ht="33" customHeight="1">
      <c r="A154" s="25"/>
      <c r="B154" s="25"/>
      <c r="C154" s="25"/>
      <c r="D154" s="25"/>
      <c r="E154" s="25"/>
      <c r="J154" s="37"/>
      <c r="K154" s="38"/>
      <c r="L154" s="39"/>
    </row>
    <row r="155" spans="1:12" ht="33" customHeight="1">
      <c r="A155" s="25"/>
      <c r="B155" s="25"/>
      <c r="C155" s="25"/>
      <c r="D155" s="25"/>
      <c r="E155" s="25"/>
      <c r="J155" s="37"/>
      <c r="K155" s="38"/>
      <c r="L155" s="39"/>
    </row>
    <row r="156" spans="1:12" ht="33" customHeight="1">
      <c r="A156" s="25"/>
      <c r="B156" s="25"/>
      <c r="C156" s="25"/>
      <c r="D156" s="25"/>
      <c r="E156" s="25"/>
      <c r="J156" s="37"/>
      <c r="K156" s="38"/>
      <c r="L156" s="39"/>
    </row>
    <row r="157" spans="1:12" ht="33" customHeight="1">
      <c r="A157" s="25"/>
      <c r="B157" s="25"/>
      <c r="C157" s="25"/>
      <c r="D157" s="25"/>
      <c r="E157" s="25"/>
      <c r="J157" s="37"/>
      <c r="K157" s="38"/>
      <c r="L157" s="39"/>
    </row>
    <row r="158" spans="1:12" ht="33" customHeight="1">
      <c r="A158" s="25"/>
      <c r="B158" s="25"/>
      <c r="C158" s="25"/>
      <c r="D158" s="25"/>
      <c r="E158" s="25"/>
      <c r="J158" s="37"/>
      <c r="K158" s="38"/>
      <c r="L158" s="39"/>
    </row>
    <row r="159" spans="1:12" ht="33" customHeight="1">
      <c r="A159" s="25"/>
      <c r="B159" s="25"/>
      <c r="C159" s="25"/>
      <c r="D159" s="25"/>
      <c r="E159" s="25"/>
      <c r="J159" s="37"/>
      <c r="K159" s="38"/>
      <c r="L159" s="39"/>
    </row>
    <row r="160" spans="1:12" ht="33" customHeight="1">
      <c r="A160" s="25"/>
      <c r="B160" s="25"/>
      <c r="C160" s="25"/>
      <c r="D160" s="25"/>
      <c r="E160" s="25"/>
      <c r="J160" s="37"/>
      <c r="K160" s="38"/>
      <c r="L160" s="39"/>
    </row>
    <row r="161" spans="1:12" ht="33" customHeight="1">
      <c r="A161" s="25"/>
      <c r="B161" s="25"/>
      <c r="C161" s="25"/>
      <c r="D161" s="25"/>
      <c r="E161" s="25"/>
      <c r="J161" s="37"/>
      <c r="K161" s="38"/>
      <c r="L161" s="39"/>
    </row>
    <row r="162" spans="1:12" ht="33" customHeight="1">
      <c r="A162" s="25"/>
      <c r="B162" s="25"/>
      <c r="C162" s="25"/>
      <c r="D162" s="25"/>
      <c r="E162" s="25"/>
      <c r="J162" s="37"/>
      <c r="K162" s="38"/>
      <c r="L162" s="39"/>
    </row>
    <row r="163" spans="1:12" ht="33" customHeight="1">
      <c r="A163" s="25"/>
      <c r="B163" s="25"/>
      <c r="C163" s="25"/>
      <c r="D163" s="25"/>
      <c r="E163" s="25"/>
      <c r="J163" s="37"/>
      <c r="K163" s="38"/>
      <c r="L163" s="39"/>
    </row>
    <row r="164" spans="1:12" ht="33" customHeight="1">
      <c r="A164" s="25"/>
      <c r="B164" s="25"/>
      <c r="C164" s="25"/>
      <c r="D164" s="25"/>
      <c r="E164" s="25"/>
      <c r="J164" s="37"/>
      <c r="K164" s="38"/>
      <c r="L164" s="39"/>
    </row>
    <row r="165" spans="1:12" ht="33" customHeight="1">
      <c r="A165" s="25"/>
      <c r="B165" s="25"/>
      <c r="C165" s="25"/>
      <c r="D165" s="25"/>
      <c r="E165" s="25"/>
      <c r="J165" s="37"/>
      <c r="K165" s="38"/>
      <c r="L165" s="39"/>
    </row>
    <row r="166" spans="1:12" ht="33" customHeight="1">
      <c r="A166" s="25"/>
      <c r="B166" s="25"/>
      <c r="C166" s="25"/>
      <c r="D166" s="25"/>
      <c r="E166" s="25"/>
      <c r="J166" s="37"/>
      <c r="K166" s="38"/>
      <c r="L166" s="39"/>
    </row>
    <row r="167" spans="1:12" ht="33" customHeight="1">
      <c r="A167" s="25"/>
      <c r="B167" s="25"/>
      <c r="C167" s="25"/>
      <c r="D167" s="25"/>
      <c r="E167" s="25"/>
      <c r="J167" s="37"/>
      <c r="K167" s="38"/>
      <c r="L167" s="39"/>
    </row>
    <row r="168" spans="1:12" ht="33" customHeight="1">
      <c r="A168" s="25"/>
      <c r="B168" s="25"/>
      <c r="C168" s="25"/>
      <c r="D168" s="25"/>
      <c r="E168" s="25"/>
      <c r="J168" s="37"/>
      <c r="K168" s="38"/>
      <c r="L168" s="39"/>
    </row>
    <row r="169" spans="1:12" ht="33" customHeight="1">
      <c r="A169" s="25"/>
      <c r="B169" s="25"/>
      <c r="C169" s="25"/>
      <c r="D169" s="25"/>
      <c r="E169" s="25"/>
      <c r="J169" s="37"/>
      <c r="K169" s="38"/>
      <c r="L169" s="39"/>
    </row>
    <row r="170" spans="1:12" ht="33" customHeight="1">
      <c r="A170" s="25"/>
      <c r="B170" s="25"/>
      <c r="C170" s="25"/>
      <c r="D170" s="25"/>
      <c r="E170" s="25"/>
      <c r="J170" s="37"/>
      <c r="K170" s="38"/>
      <c r="L170" s="39"/>
    </row>
    <row r="171" spans="1:12" ht="33" customHeight="1">
      <c r="A171" s="25"/>
      <c r="B171" s="25"/>
      <c r="C171" s="25"/>
      <c r="D171" s="25"/>
      <c r="E171" s="25"/>
      <c r="J171" s="37"/>
      <c r="K171" s="38"/>
      <c r="L171" s="39"/>
    </row>
    <row r="172" spans="1:12" ht="33" customHeight="1">
      <c r="A172" s="25"/>
      <c r="B172" s="25"/>
      <c r="C172" s="25"/>
      <c r="D172" s="25"/>
      <c r="E172" s="25"/>
      <c r="J172" s="37"/>
      <c r="K172" s="38"/>
      <c r="L172" s="39"/>
    </row>
    <row r="173" spans="1:12" ht="33" customHeight="1">
      <c r="A173" s="25"/>
      <c r="B173" s="25"/>
      <c r="C173" s="25"/>
      <c r="D173" s="25"/>
      <c r="E173" s="25"/>
      <c r="J173" s="37"/>
      <c r="K173" s="38"/>
      <c r="L173" s="39"/>
    </row>
    <row r="174" spans="1:12" ht="33" customHeight="1">
      <c r="A174" s="25"/>
      <c r="B174" s="25"/>
      <c r="C174" s="25"/>
      <c r="D174" s="25"/>
      <c r="E174" s="25"/>
      <c r="J174" s="37"/>
      <c r="K174" s="38"/>
      <c r="L174" s="39"/>
    </row>
    <row r="175" spans="1:12" ht="33" customHeight="1">
      <c r="A175" s="25"/>
      <c r="B175" s="25"/>
      <c r="C175" s="25"/>
      <c r="D175" s="25"/>
      <c r="E175" s="25"/>
      <c r="J175" s="37"/>
      <c r="K175" s="38"/>
      <c r="L175" s="39"/>
    </row>
    <row r="176" spans="1:12" ht="33" customHeight="1">
      <c r="A176" s="25"/>
      <c r="B176" s="25"/>
      <c r="C176" s="25"/>
      <c r="D176" s="25"/>
      <c r="E176" s="25"/>
      <c r="J176" s="37"/>
      <c r="K176" s="38"/>
      <c r="L176" s="39"/>
    </row>
    <row r="177" spans="1:12" ht="33" customHeight="1">
      <c r="A177" s="25"/>
      <c r="B177" s="25"/>
      <c r="C177" s="25"/>
      <c r="D177" s="25"/>
      <c r="E177" s="25"/>
      <c r="J177" s="37"/>
      <c r="K177" s="38"/>
      <c r="L177" s="39"/>
    </row>
    <row r="178" spans="1:12" ht="33" customHeight="1">
      <c r="A178" s="25"/>
      <c r="B178" s="25"/>
      <c r="C178" s="25"/>
      <c r="D178" s="25"/>
      <c r="E178" s="25"/>
      <c r="J178" s="37"/>
      <c r="K178" s="38"/>
      <c r="L178" s="39"/>
    </row>
    <row r="179" spans="1:12" ht="33" customHeight="1">
      <c r="A179" s="25"/>
      <c r="B179" s="25"/>
      <c r="C179" s="25"/>
      <c r="D179" s="25"/>
      <c r="E179" s="25"/>
      <c r="J179" s="37"/>
      <c r="K179" s="38"/>
      <c r="L179" s="39"/>
    </row>
    <row r="180" spans="1:12" ht="33" customHeight="1">
      <c r="A180" s="25"/>
      <c r="B180" s="25"/>
      <c r="C180" s="25"/>
      <c r="D180" s="25"/>
      <c r="E180" s="25"/>
      <c r="J180" s="37"/>
      <c r="K180" s="38"/>
      <c r="L180" s="39"/>
    </row>
    <row r="181" spans="1:12" ht="33" customHeight="1">
      <c r="A181" s="25"/>
      <c r="B181" s="25"/>
      <c r="C181" s="25"/>
      <c r="D181" s="25"/>
      <c r="E181" s="25"/>
      <c r="J181" s="37"/>
      <c r="K181" s="38"/>
      <c r="L181" s="39"/>
    </row>
    <row r="182" spans="1:12" ht="33" customHeight="1">
      <c r="A182" s="25"/>
      <c r="B182" s="25"/>
      <c r="C182" s="25"/>
      <c r="D182" s="25"/>
      <c r="E182" s="25"/>
      <c r="J182" s="37"/>
      <c r="K182" s="38"/>
      <c r="L182" s="39"/>
    </row>
    <row r="183" spans="1:12" ht="33" customHeight="1">
      <c r="A183" s="25"/>
      <c r="B183" s="25"/>
      <c r="C183" s="25"/>
      <c r="D183" s="25"/>
      <c r="E183" s="25"/>
      <c r="J183" s="37"/>
      <c r="K183" s="38"/>
      <c r="L183" s="39"/>
    </row>
    <row r="184" spans="1:12" ht="33" customHeight="1">
      <c r="A184" s="25"/>
      <c r="B184" s="25"/>
      <c r="C184" s="25"/>
      <c r="D184" s="25"/>
      <c r="E184" s="25"/>
      <c r="J184" s="37"/>
      <c r="K184" s="38"/>
      <c r="L184" s="39"/>
    </row>
    <row r="185" spans="1:12" ht="33" customHeight="1">
      <c r="A185" s="25"/>
      <c r="B185" s="25"/>
      <c r="C185" s="25"/>
      <c r="D185" s="25"/>
      <c r="E185" s="25"/>
      <c r="J185" s="37"/>
      <c r="K185" s="38"/>
      <c r="L185" s="39"/>
    </row>
    <row r="186" spans="1:12" ht="33" customHeight="1">
      <c r="A186" s="25"/>
      <c r="B186" s="25"/>
      <c r="C186" s="25"/>
      <c r="D186" s="25"/>
      <c r="E186" s="25"/>
      <c r="J186" s="26"/>
      <c r="K186" s="40"/>
      <c r="L186" s="41"/>
    </row>
    <row r="187" spans="1:12" ht="33" customHeight="1">
      <c r="A187" s="25"/>
      <c r="B187" s="25"/>
      <c r="C187" s="25"/>
      <c r="D187" s="25"/>
      <c r="E187" s="25"/>
      <c r="J187" s="26"/>
      <c r="K187" s="40"/>
      <c r="L187" s="41"/>
    </row>
    <row r="188" spans="1:12" ht="33" customHeight="1">
      <c r="A188" s="25"/>
      <c r="B188" s="25"/>
      <c r="C188" s="25"/>
      <c r="D188" s="25"/>
      <c r="E188" s="25"/>
      <c r="J188" s="26"/>
      <c r="K188" s="40"/>
      <c r="L188" s="41"/>
    </row>
    <row r="189" spans="1:12" ht="33" customHeight="1">
      <c r="A189" s="25"/>
      <c r="B189" s="25"/>
      <c r="C189" s="25"/>
      <c r="D189" s="25"/>
      <c r="E189" s="25"/>
      <c r="J189" s="26"/>
      <c r="K189" s="40"/>
      <c r="L189" s="41"/>
    </row>
    <row r="190" spans="1:12" ht="33" customHeight="1">
      <c r="A190" s="25"/>
      <c r="B190" s="25"/>
      <c r="C190" s="25"/>
      <c r="D190" s="25"/>
      <c r="E190" s="25"/>
      <c r="J190" s="26"/>
      <c r="K190" s="40"/>
      <c r="L190" s="41"/>
    </row>
    <row r="191" spans="1:12" ht="33" customHeight="1">
      <c r="A191" s="25"/>
      <c r="B191" s="25"/>
      <c r="C191" s="25"/>
      <c r="D191" s="25"/>
      <c r="E191" s="25"/>
      <c r="J191" s="26"/>
      <c r="K191" s="40"/>
      <c r="L191" s="41"/>
    </row>
    <row r="192" spans="1:12" ht="33" customHeight="1">
      <c r="A192" s="25"/>
      <c r="B192" s="25"/>
      <c r="C192" s="25"/>
      <c r="D192" s="25"/>
      <c r="E192" s="25"/>
      <c r="J192" s="26"/>
      <c r="K192" s="40"/>
      <c r="L192" s="41"/>
    </row>
    <row r="193" spans="1:12" ht="33" customHeight="1">
      <c r="A193" s="25"/>
      <c r="B193" s="25"/>
      <c r="C193" s="25"/>
      <c r="D193" s="25"/>
      <c r="E193" s="25"/>
      <c r="J193" s="26"/>
      <c r="K193" s="40"/>
      <c r="L193" s="41"/>
    </row>
    <row r="194" spans="1:12" ht="33" customHeight="1">
      <c r="A194" s="25"/>
      <c r="B194" s="25"/>
      <c r="C194" s="25"/>
      <c r="D194" s="25"/>
      <c r="E194" s="25"/>
      <c r="J194" s="26"/>
      <c r="K194" s="40"/>
      <c r="L194" s="41"/>
    </row>
    <row r="195" spans="1:12" ht="33" customHeight="1">
      <c r="A195" s="25"/>
      <c r="B195" s="25"/>
      <c r="C195" s="25"/>
      <c r="D195" s="25"/>
      <c r="E195" s="25"/>
      <c r="J195" s="26"/>
      <c r="K195" s="40"/>
      <c r="L195" s="41"/>
    </row>
    <row r="196" spans="1:12" ht="33" customHeight="1">
      <c r="A196" s="25"/>
      <c r="B196" s="25"/>
      <c r="C196" s="25"/>
      <c r="D196" s="25"/>
      <c r="E196" s="25"/>
      <c r="J196" s="26"/>
      <c r="K196" s="40"/>
      <c r="L196" s="41"/>
    </row>
    <row r="197" spans="1:12" ht="33" customHeight="1">
      <c r="A197" s="25"/>
      <c r="B197" s="25"/>
      <c r="C197" s="25"/>
      <c r="D197" s="25"/>
      <c r="E197" s="25"/>
      <c r="J197" s="26"/>
      <c r="K197" s="40"/>
      <c r="L197" s="41"/>
    </row>
    <row r="198" spans="1:12" ht="33" customHeight="1">
      <c r="A198" s="25"/>
      <c r="B198" s="25"/>
      <c r="C198" s="25"/>
      <c r="D198" s="25"/>
      <c r="E198" s="25"/>
      <c r="J198" s="26"/>
      <c r="K198" s="40"/>
      <c r="L198" s="41"/>
    </row>
    <row r="199" spans="1:12" ht="33" customHeight="1">
      <c r="A199" s="25"/>
      <c r="B199" s="25"/>
      <c r="C199" s="25"/>
      <c r="D199" s="25"/>
      <c r="E199" s="25"/>
      <c r="J199" s="26"/>
      <c r="K199" s="40"/>
      <c r="L199" s="41"/>
    </row>
    <row r="200" spans="1:12" ht="33" customHeight="1">
      <c r="A200" s="25"/>
      <c r="B200" s="25"/>
      <c r="C200" s="25"/>
      <c r="D200" s="25"/>
      <c r="E200" s="25"/>
      <c r="J200" s="26"/>
      <c r="K200" s="40"/>
      <c r="L200" s="41"/>
    </row>
    <row r="201" spans="1:12" ht="33" customHeight="1">
      <c r="A201" s="25"/>
      <c r="B201" s="25"/>
      <c r="C201" s="25"/>
      <c r="D201" s="25"/>
      <c r="E201" s="25"/>
      <c r="J201" s="26"/>
      <c r="K201" s="40"/>
      <c r="L201" s="41"/>
    </row>
    <row r="202" spans="1:12" ht="33" customHeight="1">
      <c r="A202" s="25"/>
      <c r="B202" s="25"/>
      <c r="C202" s="25"/>
      <c r="D202" s="25"/>
      <c r="E202" s="25"/>
      <c r="J202" s="26"/>
      <c r="K202" s="40"/>
      <c r="L202" s="41"/>
    </row>
    <row r="203" spans="1:12" ht="33" customHeight="1">
      <c r="A203" s="25"/>
      <c r="B203" s="25"/>
      <c r="C203" s="25"/>
      <c r="D203" s="25"/>
      <c r="E203" s="25"/>
      <c r="J203" s="26"/>
      <c r="K203" s="40"/>
      <c r="L203" s="41"/>
    </row>
    <row r="204" spans="1:12" ht="33" customHeight="1">
      <c r="A204" s="25"/>
      <c r="B204" s="25"/>
      <c r="C204" s="25"/>
      <c r="D204" s="25"/>
      <c r="E204" s="25"/>
      <c r="J204" s="26"/>
      <c r="K204" s="40"/>
      <c r="L204" s="41"/>
    </row>
    <row r="205" spans="1:12" ht="33" customHeight="1">
      <c r="A205" s="25"/>
      <c r="B205" s="25"/>
      <c r="C205" s="25"/>
      <c r="D205" s="25"/>
      <c r="E205" s="25"/>
      <c r="J205" s="26"/>
      <c r="K205" s="40"/>
      <c r="L205" s="41"/>
    </row>
    <row r="206" spans="1:12" ht="33" customHeight="1">
      <c r="A206" s="25"/>
      <c r="B206" s="25"/>
      <c r="C206" s="25"/>
      <c r="D206" s="25"/>
      <c r="E206" s="25"/>
      <c r="J206" s="26"/>
      <c r="K206" s="40"/>
      <c r="L206" s="41"/>
    </row>
    <row r="207" spans="1:12" ht="33" customHeight="1">
      <c r="A207" s="25"/>
      <c r="B207" s="25"/>
      <c r="C207" s="25"/>
      <c r="D207" s="25"/>
      <c r="E207" s="25"/>
      <c r="J207" s="26"/>
      <c r="K207" s="40"/>
      <c r="L207" s="41"/>
    </row>
    <row r="208" spans="1:12" ht="33" customHeight="1">
      <c r="A208" s="25"/>
      <c r="B208" s="25"/>
      <c r="C208" s="25"/>
      <c r="D208" s="25"/>
      <c r="E208" s="25"/>
      <c r="J208" s="26"/>
      <c r="K208" s="40"/>
      <c r="L208" s="41"/>
    </row>
    <row r="209" spans="1:12" ht="33" customHeight="1">
      <c r="A209" s="25"/>
      <c r="B209" s="25"/>
      <c r="C209" s="25"/>
      <c r="D209" s="25"/>
      <c r="E209" s="25"/>
      <c r="J209" s="26"/>
      <c r="K209" s="40"/>
      <c r="L209" s="41"/>
    </row>
    <row r="210" spans="1:12" ht="33" customHeight="1">
      <c r="A210" s="25"/>
      <c r="B210" s="25"/>
      <c r="C210" s="25"/>
      <c r="D210" s="25"/>
      <c r="E210" s="25"/>
      <c r="J210" s="26"/>
      <c r="K210" s="40"/>
      <c r="L210" s="41"/>
    </row>
    <row r="211" spans="1:12" ht="33" customHeight="1">
      <c r="A211" s="25"/>
      <c r="B211" s="25"/>
      <c r="C211" s="25"/>
      <c r="D211" s="25"/>
      <c r="E211" s="25"/>
      <c r="J211" s="26"/>
      <c r="K211" s="40"/>
      <c r="L211" s="41"/>
    </row>
    <row r="212" spans="1:12" ht="33" customHeight="1">
      <c r="A212" s="25"/>
      <c r="B212" s="25"/>
      <c r="C212" s="25"/>
      <c r="D212" s="25"/>
      <c r="E212" s="25"/>
      <c r="J212" s="26"/>
      <c r="K212" s="40"/>
      <c r="L212" s="41"/>
    </row>
    <row r="213" spans="1:12" ht="33" customHeight="1">
      <c r="A213" s="25"/>
      <c r="B213" s="25"/>
      <c r="C213" s="25"/>
      <c r="D213" s="25"/>
      <c r="E213" s="25"/>
      <c r="J213" s="26"/>
      <c r="K213" s="40"/>
      <c r="L213" s="41"/>
    </row>
    <row r="214" spans="1:12" ht="33" customHeight="1">
      <c r="A214" s="25"/>
      <c r="B214" s="25"/>
      <c r="C214" s="25"/>
      <c r="D214" s="25"/>
      <c r="E214" s="25"/>
      <c r="J214" s="26"/>
      <c r="K214" s="40"/>
      <c r="L214" s="41"/>
    </row>
    <row r="215" spans="1:12" ht="33" customHeight="1">
      <c r="A215" s="25"/>
      <c r="B215" s="25"/>
      <c r="C215" s="25"/>
      <c r="D215" s="25"/>
      <c r="E215" s="25"/>
      <c r="J215" s="26"/>
      <c r="K215" s="40"/>
      <c r="L215" s="41"/>
    </row>
    <row r="216" spans="1:12" ht="33" customHeight="1">
      <c r="A216" s="25"/>
      <c r="B216" s="25"/>
      <c r="C216" s="25"/>
      <c r="D216" s="25"/>
      <c r="E216" s="25"/>
      <c r="J216" s="26"/>
      <c r="K216" s="40"/>
      <c r="L216" s="41"/>
    </row>
    <row r="217" spans="1:12" ht="33" customHeight="1">
      <c r="A217" s="25"/>
      <c r="B217" s="25"/>
      <c r="C217" s="25"/>
      <c r="D217" s="25"/>
      <c r="E217" s="25"/>
      <c r="J217" s="26"/>
      <c r="K217" s="40"/>
      <c r="L217" s="41"/>
    </row>
    <row r="218" spans="1:12" ht="33" customHeight="1">
      <c r="A218" s="25"/>
      <c r="B218" s="25"/>
      <c r="C218" s="25"/>
      <c r="D218" s="25"/>
      <c r="E218" s="25"/>
      <c r="J218" s="26"/>
      <c r="K218" s="40"/>
      <c r="L218" s="41"/>
    </row>
    <row r="219" spans="1:12" ht="33" customHeight="1">
      <c r="A219" s="25"/>
      <c r="B219" s="25"/>
      <c r="C219" s="25"/>
      <c r="D219" s="25"/>
      <c r="E219" s="25"/>
      <c r="J219" s="26"/>
      <c r="K219" s="40"/>
      <c r="L219" s="41"/>
    </row>
    <row r="220" spans="1:12" ht="33" customHeight="1">
      <c r="A220" s="25"/>
      <c r="B220" s="25"/>
      <c r="C220" s="25"/>
      <c r="D220" s="25"/>
      <c r="E220" s="25"/>
      <c r="J220" s="26"/>
      <c r="K220" s="40"/>
      <c r="L220" s="41"/>
    </row>
    <row r="221" spans="1:12" ht="33" customHeight="1">
      <c r="A221" s="25"/>
      <c r="B221" s="25"/>
      <c r="C221" s="25"/>
      <c r="D221" s="25"/>
      <c r="E221" s="25"/>
      <c r="J221" s="26"/>
      <c r="K221" s="40"/>
      <c r="L221" s="41"/>
    </row>
    <row r="222" spans="1:12" ht="33" customHeight="1">
      <c r="A222" s="25"/>
      <c r="B222" s="25"/>
      <c r="C222" s="25"/>
      <c r="D222" s="25"/>
      <c r="E222" s="25"/>
      <c r="J222" s="26"/>
      <c r="K222" s="40"/>
      <c r="L222" s="41"/>
    </row>
    <row r="223" spans="1:12" ht="33" customHeight="1">
      <c r="A223" s="25"/>
      <c r="B223" s="25"/>
      <c r="C223" s="25"/>
      <c r="D223" s="25"/>
      <c r="E223" s="25"/>
      <c r="J223" s="26"/>
      <c r="K223" s="40"/>
      <c r="L223" s="41"/>
    </row>
    <row r="224" spans="1:12" ht="33" customHeight="1">
      <c r="A224" s="25"/>
      <c r="B224" s="25"/>
      <c r="C224" s="25"/>
      <c r="D224" s="25"/>
      <c r="E224" s="25"/>
      <c r="J224" s="26"/>
      <c r="K224" s="40"/>
      <c r="L224" s="41"/>
    </row>
    <row r="225" spans="1:12" ht="33" customHeight="1">
      <c r="A225" s="25"/>
      <c r="B225" s="25"/>
      <c r="C225" s="25"/>
      <c r="D225" s="25"/>
      <c r="E225" s="25"/>
      <c r="J225" s="26"/>
      <c r="K225" s="40"/>
      <c r="L225" s="41"/>
    </row>
    <row r="226" spans="1:12" ht="33" customHeight="1">
      <c r="A226" s="25"/>
      <c r="B226" s="25"/>
      <c r="C226" s="25"/>
      <c r="D226" s="25"/>
      <c r="E226" s="25"/>
      <c r="J226" s="26"/>
      <c r="K226" s="40"/>
      <c r="L226" s="41"/>
    </row>
    <row r="227" spans="1:12" ht="33" customHeight="1">
      <c r="A227" s="25"/>
      <c r="B227" s="25"/>
      <c r="C227" s="25"/>
      <c r="D227" s="25"/>
      <c r="E227" s="25"/>
      <c r="J227" s="26"/>
      <c r="K227" s="40"/>
      <c r="L227" s="41"/>
    </row>
    <row r="228" spans="1:12" ht="33" customHeight="1">
      <c r="A228" s="25"/>
      <c r="B228" s="25"/>
      <c r="C228" s="25"/>
      <c r="D228" s="25"/>
      <c r="E228" s="25"/>
      <c r="J228" s="26"/>
      <c r="K228" s="40"/>
      <c r="L228" s="41"/>
    </row>
    <row r="229" spans="1:12" ht="33" customHeight="1">
      <c r="A229" s="25"/>
      <c r="B229" s="25"/>
      <c r="C229" s="25"/>
      <c r="D229" s="25"/>
      <c r="E229" s="25"/>
      <c r="J229" s="26"/>
      <c r="K229" s="40"/>
      <c r="L229" s="41"/>
    </row>
    <row r="230" spans="1:12" ht="33" customHeight="1">
      <c r="A230" s="25"/>
      <c r="B230" s="25"/>
      <c r="C230" s="25"/>
      <c r="D230" s="25"/>
      <c r="E230" s="25"/>
      <c r="J230" s="26"/>
      <c r="K230" s="40"/>
      <c r="L230" s="41"/>
    </row>
    <row r="231" spans="1:12" ht="33" customHeight="1">
      <c r="A231" s="25"/>
      <c r="B231" s="25"/>
      <c r="C231" s="25"/>
      <c r="D231" s="25"/>
      <c r="E231" s="25"/>
      <c r="J231" s="26"/>
      <c r="K231" s="40"/>
      <c r="L231" s="41"/>
    </row>
    <row r="232" spans="1:12" ht="33" customHeight="1">
      <c r="A232" s="25"/>
      <c r="B232" s="25"/>
      <c r="C232" s="25"/>
      <c r="D232" s="25"/>
      <c r="E232" s="25"/>
      <c r="J232" s="26"/>
      <c r="K232" s="40"/>
      <c r="L232" s="41"/>
    </row>
    <row r="233" spans="1:12" ht="33" customHeight="1">
      <c r="A233" s="25"/>
      <c r="B233" s="25"/>
      <c r="C233" s="25"/>
      <c r="D233" s="25"/>
      <c r="E233" s="25"/>
      <c r="J233" s="26"/>
      <c r="K233" s="40"/>
      <c r="L233" s="41"/>
    </row>
    <row r="234" spans="1:12" ht="33" customHeight="1">
      <c r="A234" s="25"/>
      <c r="B234" s="25"/>
      <c r="C234" s="25"/>
      <c r="D234" s="25"/>
      <c r="E234" s="25"/>
      <c r="J234" s="26"/>
      <c r="K234" s="40"/>
      <c r="L234" s="41"/>
    </row>
    <row r="235" spans="1:12" ht="33" customHeight="1">
      <c r="A235" s="25"/>
      <c r="B235" s="25"/>
      <c r="C235" s="25"/>
      <c r="D235" s="25"/>
      <c r="E235" s="25"/>
      <c r="J235" s="26"/>
      <c r="K235" s="40"/>
      <c r="L235" s="41"/>
    </row>
    <row r="236" spans="1:12" ht="33" customHeight="1">
      <c r="A236" s="25"/>
      <c r="B236" s="25"/>
      <c r="C236" s="25"/>
      <c r="D236" s="25"/>
      <c r="E236" s="25"/>
      <c r="J236" s="26"/>
      <c r="K236" s="40"/>
      <c r="L236" s="41"/>
    </row>
    <row r="237" spans="1:12" ht="33" customHeight="1">
      <c r="A237" s="25"/>
      <c r="B237" s="25"/>
      <c r="C237" s="25"/>
      <c r="D237" s="25"/>
      <c r="E237" s="25"/>
      <c r="J237" s="26"/>
      <c r="K237" s="40"/>
      <c r="L237" s="41"/>
    </row>
  </sheetData>
  <conditionalFormatting sqref="L1:L237">
    <cfRule type="cellIs" dxfId="1" priority="1" operator="between">
      <formula>9</formula>
      <formula>36</formula>
    </cfRule>
  </conditionalFormatting>
  <conditionalFormatting sqref="L1:L237">
    <cfRule type="cellIs" dxfId="0" priority="2" operator="between">
      <formula>1</formula>
      <formula>8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RIEPILOGO PARTITE</vt:lpstr>
      <vt:lpstr>RIEPIOGO TOTALI</vt:lpstr>
      <vt:lpstr>CLASSIFICA ORDINATA PER POSIZIO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utenti</dc:creator>
  <cp:lastModifiedBy>Daniele Agate</cp:lastModifiedBy>
  <dcterms:created xsi:type="dcterms:W3CDTF">2026-01-09T21:00:08Z</dcterms:created>
  <dcterms:modified xsi:type="dcterms:W3CDTF">2026-03-05T12:08:23Z</dcterms:modified>
</cp:coreProperties>
</file>